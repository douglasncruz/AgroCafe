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ED690AE87327D9/Despesas Lavoura de Café/"/>
    </mc:Choice>
  </mc:AlternateContent>
  <xr:revisionPtr revIDLastSave="1992" documentId="13_ncr:1_{D3D6D60C-92A1-5A49-AF70-078914BB8DA3}" xr6:coauthVersionLast="47" xr6:coauthVersionMax="47" xr10:uidLastSave="{5393E893-C651-4C01-A447-A7C31F28C06F}"/>
  <bookViews>
    <workbookView xWindow="-28920" yWindow="-12540" windowWidth="29040" windowHeight="16440" firstSheet="8" activeTab="1" xr2:uid="{6D4D4B6C-6101-704D-B69F-7E2BD4253819}"/>
  </bookViews>
  <sheets>
    <sheet name="Nomes" sheetId="2" r:id="rId1"/>
    <sheet name="VENDA CAFÉ" sheetId="8" r:id="rId2"/>
    <sheet name="Ano 2020 - Café" sheetId="1" r:id="rId3"/>
    <sheet name="Ano 2021 - Café" sheetId="3" r:id="rId4"/>
    <sheet name="Ano 2022 - café" sheetId="4" r:id="rId5"/>
    <sheet name="Ano 2023 - café" sheetId="6" r:id="rId6"/>
    <sheet name="Ano 2024 - café" sheetId="7" r:id="rId7"/>
    <sheet name="Ano 2025 - café" sheetId="9" r:id="rId8"/>
    <sheet name="Ano 2026 - café" sheetId="10" r:id="rId9"/>
  </sheets>
  <definedNames>
    <definedName name="_xlnm.Print_Area" localSheetId="2">'Ano 2020 - Café'!$A$1:$O$45</definedName>
    <definedName name="_xlnm.Print_Area" localSheetId="3">'Ano 2021 - Café'!$A$1:$O$64</definedName>
    <definedName name="_xlnm.Print_Area" localSheetId="4">'Ano 2022 - café'!$A$1:$O$49</definedName>
    <definedName name="_xlnm.Print_Area" localSheetId="5">'Ano 2023 - café'!$A$1:$P$26</definedName>
    <definedName name="_xlnm.Print_Area" localSheetId="6">'Ano 2024 - café'!$A$1:$P$32</definedName>
    <definedName name="_xlnm.Print_Area" localSheetId="7">'Ano 2025 - café'!$A$1:$P$70</definedName>
    <definedName name="_xlnm.Print_Area" localSheetId="8">'Ano 2026 - café'!$A$1:$P$51</definedName>
    <definedName name="Z_DB3EC1DA_FC08_4947_B6EA_13BE4D518663_.wvu.PrintArea" localSheetId="2" hidden="1">'Ano 2020 - Café'!$A$1:$O$45</definedName>
    <definedName name="Z_DB3EC1DA_FC08_4947_B6EA_13BE4D518663_.wvu.PrintArea" localSheetId="3" hidden="1">'Ano 2021 - Café'!$A$1:$O$64</definedName>
    <definedName name="Z_DB3EC1DA_FC08_4947_B6EA_13BE4D518663_.wvu.PrintArea" localSheetId="4" hidden="1">'Ano 2022 - café'!$A$1:$O$49</definedName>
    <definedName name="Z_DB3EC1DA_FC08_4947_B6EA_13BE4D518663_.wvu.PrintArea" localSheetId="5" hidden="1">'Ano 2023 - café'!$A$1:$P$26</definedName>
    <definedName name="Z_DB3EC1DA_FC08_4947_B6EA_13BE4D518663_.wvu.PrintArea" localSheetId="6" hidden="1">'Ano 2024 - café'!$A$1:$P$32</definedName>
    <definedName name="Z_DB3EC1DA_FC08_4947_B6EA_13BE4D518663_.wvu.PrintArea" localSheetId="7" hidden="1">'Ano 2025 - café'!$A$1:$P$70</definedName>
    <definedName name="Z_DB3EC1DA_FC08_4947_B6EA_13BE4D518663_.wvu.PrintArea" localSheetId="8" hidden="1">'Ano 2026 - café'!$A$1:$P$51</definedName>
  </definedNames>
  <calcPr calcId="191028"/>
  <customWorkbookViews>
    <customWorkbookView name="Visualização" guid="{DB3EC1DA-FC08-4947-B6EA-13BE4D518663}" maximized="1" xWindow="-11" yWindow="-11" windowWidth="1942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D2" i="8"/>
  <c r="G3" i="2"/>
  <c r="F3" i="2"/>
  <c r="E3" i="2"/>
  <c r="D3" i="2"/>
  <c r="C3" i="2"/>
  <c r="B3" i="2"/>
  <c r="G2" i="2"/>
  <c r="F2" i="2"/>
  <c r="E2" i="2"/>
  <c r="D2" i="2"/>
  <c r="C2" i="2"/>
  <c r="B2" i="2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44" i="9"/>
  <c r="P31" i="7"/>
  <c r="E66" i="9"/>
  <c r="F66" i="9"/>
  <c r="G66" i="9"/>
  <c r="H66" i="9"/>
  <c r="I66" i="9"/>
  <c r="J66" i="9"/>
  <c r="K66" i="9"/>
  <c r="L66" i="9"/>
  <c r="M66" i="9"/>
  <c r="N66" i="9"/>
  <c r="O66" i="9"/>
  <c r="D66" i="9"/>
  <c r="P66" i="9" s="1"/>
  <c r="G68" i="9"/>
  <c r="H68" i="9"/>
  <c r="I68" i="9"/>
  <c r="J68" i="9"/>
  <c r="K68" i="9"/>
  <c r="L68" i="9"/>
  <c r="M68" i="9"/>
  <c r="N68" i="9"/>
  <c r="O68" i="9"/>
  <c r="F68" i="9"/>
  <c r="E68" i="9"/>
  <c r="E64" i="9"/>
  <c r="F64" i="9"/>
  <c r="G64" i="9"/>
  <c r="H64" i="9"/>
  <c r="I64" i="9"/>
  <c r="J64" i="9"/>
  <c r="K64" i="9"/>
  <c r="L64" i="9"/>
  <c r="M64" i="9"/>
  <c r="N64" i="9"/>
  <c r="O64" i="9"/>
  <c r="D64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2" i="9"/>
  <c r="D68" i="9"/>
  <c r="P3" i="10"/>
  <c r="P4" i="10"/>
  <c r="P17" i="10"/>
  <c r="P18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2" i="10"/>
  <c r="E50" i="10"/>
  <c r="F50" i="10"/>
  <c r="G50" i="10"/>
  <c r="H50" i="10"/>
  <c r="I50" i="10"/>
  <c r="J50" i="10"/>
  <c r="K50" i="10"/>
  <c r="L50" i="10"/>
  <c r="M50" i="10"/>
  <c r="N50" i="10"/>
  <c r="O50" i="10"/>
  <c r="E48" i="10"/>
  <c r="F48" i="10"/>
  <c r="G48" i="10"/>
  <c r="H48" i="10"/>
  <c r="I48" i="10"/>
  <c r="J48" i="10"/>
  <c r="K48" i="10"/>
  <c r="L48" i="10"/>
  <c r="M48" i="10"/>
  <c r="N48" i="10"/>
  <c r="O48" i="10"/>
  <c r="D48" i="10"/>
  <c r="P48" i="10" s="1"/>
  <c r="H3" i="2" s="1"/>
  <c r="I3" i="2" s="1"/>
  <c r="D50" i="10"/>
  <c r="P50" i="10" s="1"/>
  <c r="H2" i="2" s="1"/>
  <c r="O46" i="10"/>
  <c r="N46" i="10"/>
  <c r="M46" i="10"/>
  <c r="L46" i="10"/>
  <c r="K46" i="10"/>
  <c r="J46" i="10"/>
  <c r="I46" i="10"/>
  <c r="H46" i="10"/>
  <c r="G46" i="10"/>
  <c r="F46" i="10"/>
  <c r="E46" i="10"/>
  <c r="D46" i="10"/>
  <c r="P25" i="6"/>
  <c r="B3" i="8"/>
  <c r="B2" i="8"/>
  <c r="G3" i="8"/>
  <c r="F4" i="8"/>
  <c r="E4" i="8"/>
  <c r="D4" i="8"/>
  <c r="C4" i="8"/>
  <c r="O31" i="7"/>
  <c r="N31" i="7"/>
  <c r="M31" i="7"/>
  <c r="L31" i="7"/>
  <c r="K31" i="7"/>
  <c r="J31" i="7"/>
  <c r="I31" i="7"/>
  <c r="H31" i="7"/>
  <c r="G31" i="7"/>
  <c r="F31" i="7"/>
  <c r="E31" i="7"/>
  <c r="D31" i="7"/>
  <c r="O29" i="7"/>
  <c r="N29" i="7"/>
  <c r="M29" i="7"/>
  <c r="L29" i="7"/>
  <c r="K29" i="7"/>
  <c r="J29" i="7"/>
  <c r="I29" i="7"/>
  <c r="H29" i="7"/>
  <c r="G29" i="7"/>
  <c r="F29" i="7"/>
  <c r="E29" i="7"/>
  <c r="D29" i="7"/>
  <c r="O27" i="7"/>
  <c r="N27" i="7"/>
  <c r="M27" i="7"/>
  <c r="L27" i="7"/>
  <c r="K27" i="7"/>
  <c r="J27" i="7"/>
  <c r="I27" i="7"/>
  <c r="H27" i="7"/>
  <c r="G27" i="7"/>
  <c r="F27" i="7"/>
  <c r="E27" i="7"/>
  <c r="D27" i="7"/>
  <c r="P26" i="7"/>
  <c r="P25" i="7"/>
  <c r="P24" i="7"/>
  <c r="P23" i="7"/>
  <c r="P22" i="7"/>
  <c r="P21" i="7"/>
  <c r="P20" i="7"/>
  <c r="P29" i="7" s="1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P7" i="6"/>
  <c r="O25" i="6"/>
  <c r="N25" i="6"/>
  <c r="M25" i="6"/>
  <c r="L25" i="6"/>
  <c r="K25" i="6"/>
  <c r="J25" i="6"/>
  <c r="I25" i="6"/>
  <c r="H25" i="6"/>
  <c r="G25" i="6"/>
  <c r="F25" i="6"/>
  <c r="E25" i="6"/>
  <c r="D25" i="6"/>
  <c r="O23" i="6"/>
  <c r="N23" i="6"/>
  <c r="M23" i="6"/>
  <c r="L23" i="6"/>
  <c r="K23" i="6"/>
  <c r="J23" i="6"/>
  <c r="I23" i="6"/>
  <c r="H23" i="6"/>
  <c r="G23" i="6"/>
  <c r="F23" i="6"/>
  <c r="E23" i="6"/>
  <c r="D23" i="6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6" i="6"/>
  <c r="P5" i="6"/>
  <c r="P4" i="6"/>
  <c r="P3" i="6"/>
  <c r="P2" i="6"/>
  <c r="O32" i="4"/>
  <c r="H46" i="4"/>
  <c r="I46" i="4"/>
  <c r="J46" i="4"/>
  <c r="K46" i="4"/>
  <c r="L46" i="4"/>
  <c r="M46" i="4"/>
  <c r="N46" i="4"/>
  <c r="D48" i="4"/>
  <c r="O53" i="3"/>
  <c r="O52" i="3"/>
  <c r="O51" i="3"/>
  <c r="D61" i="3"/>
  <c r="N63" i="3"/>
  <c r="M59" i="3"/>
  <c r="O54" i="3"/>
  <c r="O50" i="3"/>
  <c r="O55" i="3"/>
  <c r="O56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1" i="4"/>
  <c r="O33" i="4"/>
  <c r="O34" i="4"/>
  <c r="O35" i="4"/>
  <c r="O36" i="4"/>
  <c r="O37" i="4"/>
  <c r="O38" i="4"/>
  <c r="O39" i="4"/>
  <c r="O40" i="4"/>
  <c r="O41" i="4"/>
  <c r="O42" i="4"/>
  <c r="O43" i="4"/>
  <c r="L63" i="3"/>
  <c r="M63" i="3"/>
  <c r="K63" i="3"/>
  <c r="G63" i="3"/>
  <c r="H63" i="3"/>
  <c r="I63" i="3"/>
  <c r="J63" i="3"/>
  <c r="F63" i="3"/>
  <c r="E63" i="3"/>
  <c r="D63" i="3"/>
  <c r="C63" i="3"/>
  <c r="M61" i="3"/>
  <c r="L61" i="3"/>
  <c r="K61" i="3"/>
  <c r="I61" i="3"/>
  <c r="H61" i="3"/>
  <c r="G61" i="3"/>
  <c r="F61" i="3"/>
  <c r="E61" i="3"/>
  <c r="E59" i="3"/>
  <c r="C61" i="3"/>
  <c r="D59" i="3"/>
  <c r="F59" i="3"/>
  <c r="G59" i="3"/>
  <c r="H59" i="3"/>
  <c r="I59" i="3"/>
  <c r="K59" i="3"/>
  <c r="L59" i="3"/>
  <c r="C59" i="3"/>
  <c r="N48" i="4"/>
  <c r="M48" i="4"/>
  <c r="L48" i="4"/>
  <c r="K48" i="4"/>
  <c r="J48" i="4"/>
  <c r="I48" i="4"/>
  <c r="H48" i="4"/>
  <c r="G48" i="4"/>
  <c r="F48" i="4"/>
  <c r="E48" i="4"/>
  <c r="C48" i="4"/>
  <c r="G46" i="4"/>
  <c r="F46" i="4"/>
  <c r="E46" i="4"/>
  <c r="D46" i="4"/>
  <c r="C46" i="4"/>
  <c r="N44" i="4"/>
  <c r="M44" i="4"/>
  <c r="L44" i="4"/>
  <c r="K44" i="4"/>
  <c r="I44" i="4"/>
  <c r="H44" i="4"/>
  <c r="G44" i="4"/>
  <c r="F44" i="4"/>
  <c r="E44" i="4"/>
  <c r="D44" i="4"/>
  <c r="C44" i="4"/>
  <c r="O48" i="4"/>
  <c r="O2" i="4"/>
  <c r="J34" i="3"/>
  <c r="O34" i="3" s="1"/>
  <c r="J33" i="3"/>
  <c r="J35" i="3"/>
  <c r="O35" i="3" s="1"/>
  <c r="O7" i="1"/>
  <c r="O24" i="1"/>
  <c r="O2" i="3"/>
  <c r="O34" i="1"/>
  <c r="O35" i="1"/>
  <c r="O36" i="1"/>
  <c r="O37" i="1"/>
  <c r="O38" i="1"/>
  <c r="O5" i="1"/>
  <c r="O6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5" i="1"/>
  <c r="O26" i="1"/>
  <c r="O27" i="1"/>
  <c r="O28" i="1"/>
  <c r="O29" i="1"/>
  <c r="O30" i="1"/>
  <c r="O31" i="1"/>
  <c r="O32" i="1"/>
  <c r="O33" i="1"/>
  <c r="O4" i="1"/>
  <c r="O42" i="1" s="1"/>
  <c r="K40" i="1"/>
  <c r="L40" i="1"/>
  <c r="M40" i="1"/>
  <c r="N40" i="1"/>
  <c r="J40" i="1"/>
  <c r="O2" i="1"/>
  <c r="D42" i="1"/>
  <c r="E42" i="1"/>
  <c r="F42" i="1"/>
  <c r="G42" i="1"/>
  <c r="H42" i="1"/>
  <c r="I42" i="1"/>
  <c r="J42" i="1"/>
  <c r="K42" i="1"/>
  <c r="L42" i="1"/>
  <c r="M42" i="1"/>
  <c r="N42" i="1"/>
  <c r="C42" i="1"/>
  <c r="D44" i="1"/>
  <c r="E44" i="1"/>
  <c r="F44" i="1"/>
  <c r="G44" i="1"/>
  <c r="H44" i="1"/>
  <c r="I44" i="1"/>
  <c r="J44" i="1"/>
  <c r="K44" i="1"/>
  <c r="L44" i="1"/>
  <c r="M44" i="1"/>
  <c r="N44" i="1"/>
  <c r="C44" i="1"/>
  <c r="I2" i="2" l="1"/>
  <c r="I4" i="2" s="1"/>
  <c r="H4" i="2"/>
  <c r="P68" i="9"/>
  <c r="P64" i="9"/>
  <c r="P46" i="10"/>
  <c r="B4" i="8"/>
  <c r="G2" i="8"/>
  <c r="G4" i="8" s="1"/>
  <c r="P27" i="7"/>
  <c r="P23" i="6"/>
  <c r="P21" i="6"/>
  <c r="O63" i="3"/>
  <c r="O44" i="1"/>
  <c r="O40" i="1"/>
  <c r="B4" i="2"/>
  <c r="O33" i="3"/>
  <c r="J61" i="3"/>
  <c r="J59" i="3"/>
  <c r="J44" i="4"/>
  <c r="D40" i="1"/>
  <c r="E40" i="1"/>
  <c r="F40" i="1"/>
  <c r="G40" i="1"/>
  <c r="H40" i="1"/>
  <c r="I40" i="1"/>
  <c r="C40" i="1"/>
  <c r="G4" i="2" l="1"/>
  <c r="F4" i="2"/>
  <c r="E4" i="2"/>
  <c r="O61" i="3"/>
  <c r="O59" i="3"/>
  <c r="O46" i="4"/>
  <c r="J7" i="2" s="1"/>
  <c r="O44" i="4"/>
  <c r="N59" i="3"/>
  <c r="N61" i="3"/>
  <c r="J6" i="2" l="1"/>
  <c r="D4" i="2"/>
  <c r="C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tc={8C40571F-3B8B-4D06-B3F4-217EA12904A0}</author>
  </authors>
  <commentList>
    <comment ref="M23" authorId="0" shapeId="0" xr:uid="{8C40571F-3B8B-4D06-B3F4-217EA12904A0}">
      <text>
        <t>[Threaded comment]
Your version of Excel allows you to read this threaded comment; however, any edits to it will get removed if the file is opened in a newer version of Excel. Learn more: https://go.microsoft.com/fwlink/?linkid=870924
Comment:
    Antes era R$10.535,00 que CRUZ pagou. Douglas fez o acerto de R$8.000,00</t>
      </text>
    </comment>
  </commentList>
</comments>
</file>

<file path=xl/sharedStrings.xml><?xml version="1.0" encoding="utf-8"?>
<sst xmlns="http://schemas.openxmlformats.org/spreadsheetml/2006/main" count="996" uniqueCount="240">
  <si>
    <t>Nomes</t>
  </si>
  <si>
    <t>Gastos em 2020</t>
  </si>
  <si>
    <t>Gastos em 2021</t>
  </si>
  <si>
    <t>Gastos em 2022</t>
  </si>
  <si>
    <t>Gastos em 2023</t>
  </si>
  <si>
    <t>Gastos em 2024</t>
  </si>
  <si>
    <t>Gastos em 2025</t>
  </si>
  <si>
    <t>Gastos em 2026</t>
  </si>
  <si>
    <t>Total</t>
  </si>
  <si>
    <t>Douglas</t>
  </si>
  <si>
    <t>Cruz</t>
  </si>
  <si>
    <t>Totais</t>
  </si>
  <si>
    <t>Saldo Douglas</t>
  </si>
  <si>
    <t>Saldo Cruz</t>
  </si>
  <si>
    <t>Despesas</t>
  </si>
  <si>
    <t>Quem pagou ?</t>
  </si>
  <si>
    <t xml:space="preserve">Janeiro </t>
  </si>
  <si>
    <t>Fevereiro</t>
  </si>
  <si>
    <t>Março</t>
  </si>
  <si>
    <t>Abril</t>
  </si>
  <si>
    <t>Maio</t>
  </si>
  <si>
    <t xml:space="preserve">Junho </t>
  </si>
  <si>
    <t xml:space="preserve">Julho </t>
  </si>
  <si>
    <t>Agosto</t>
  </si>
  <si>
    <t xml:space="preserve">Setembro </t>
  </si>
  <si>
    <t>Outubro</t>
  </si>
  <si>
    <t xml:space="preserve">Novembro </t>
  </si>
  <si>
    <t>Dezembro</t>
  </si>
  <si>
    <t>Acumulado do Ano</t>
  </si>
  <si>
    <t>Limpeza terra</t>
  </si>
  <si>
    <t> </t>
  </si>
  <si>
    <t>Esqueletagem de café</t>
  </si>
  <si>
    <t>Calcário</t>
  </si>
  <si>
    <t>Transporte Clacário</t>
  </si>
  <si>
    <t>Transporte Gesso</t>
  </si>
  <si>
    <t>Óleo Diesel</t>
  </si>
  <si>
    <t>Òleo Diesel</t>
  </si>
  <si>
    <t>Folear Map Purificado</t>
  </si>
  <si>
    <t>Yaravita Bortrac 10 Litros</t>
  </si>
  <si>
    <t>Yaravita Café 10 litros</t>
  </si>
  <si>
    <t>Azimut 05 litros</t>
  </si>
  <si>
    <t>Rimon 05 litros</t>
  </si>
  <si>
    <t>Esterco 70920 kg</t>
  </si>
  <si>
    <t>Transporte esterco (4 viagens )</t>
  </si>
  <si>
    <t>Stimulat 20 litros</t>
  </si>
  <si>
    <t>Imida 15 litros</t>
  </si>
  <si>
    <t>Adubo (1 tonelada) ano de 2019</t>
  </si>
  <si>
    <t>Óleo Diesel  ano de 2019</t>
  </si>
  <si>
    <t>Sv. Trator (Altair)</t>
  </si>
  <si>
    <t>Adubo supersimplies (planta/café) 7,5 toneladas</t>
  </si>
  <si>
    <t>Shadow (randape)</t>
  </si>
  <si>
    <t>Lona de plástico</t>
  </si>
  <si>
    <t>Adubo Ureia (café)</t>
  </si>
  <si>
    <t>Verdadeiro/multiboro (café)</t>
  </si>
  <si>
    <t>Palha de café</t>
  </si>
  <si>
    <t>Óleo Neen</t>
  </si>
  <si>
    <t>Mão de Obra</t>
  </si>
  <si>
    <t>Adubo Ureia 15 sacas</t>
  </si>
  <si>
    <t>Zartan, Galigan e Fert Fol Aminoagro</t>
  </si>
  <si>
    <t>Def. Cartago</t>
  </si>
  <si>
    <t xml:space="preserve">Óleo Diesel  </t>
  </si>
  <si>
    <t>Salut 2 litros</t>
  </si>
  <si>
    <t>Total Despesas</t>
  </si>
  <si>
    <t>Total Pago</t>
  </si>
  <si>
    <t>José da Cruz</t>
  </si>
  <si>
    <t>Total Entrada</t>
  </si>
  <si>
    <t>Safara de Milho</t>
  </si>
  <si>
    <t>Depositado para Papai em Dezembro + Pgto Protec</t>
  </si>
  <si>
    <t>Defensivo</t>
  </si>
  <si>
    <t>Adubo(Sulfato)</t>
  </si>
  <si>
    <t>Adudo pgto Cisley (40 sacas ureia protegida)</t>
  </si>
  <si>
    <t>Adubo Sulfato (2 adubação café novo)</t>
  </si>
  <si>
    <t>Adubo 20020 (3 adubação café velho) **</t>
  </si>
  <si>
    <t>Adubo (Turfa e NPK)</t>
  </si>
  <si>
    <t>Mudas de café</t>
  </si>
  <si>
    <t xml:space="preserve">Óleo diesel </t>
  </si>
  <si>
    <t xml:space="preserve">Serviço trator Marcinho </t>
  </si>
  <si>
    <t>Oléo doessel</t>
  </si>
  <si>
    <t>Defensivos**</t>
  </si>
  <si>
    <t>Oleo Diesel</t>
  </si>
  <si>
    <t>Defensivos</t>
  </si>
  <si>
    <t>Adubo 40 sacas (café velho e novo)</t>
  </si>
  <si>
    <t>Oleo diesel</t>
  </si>
  <si>
    <t>Defensivo sperto 2 litros</t>
  </si>
  <si>
    <t>Defensivo Cash (bicho mineiro)</t>
  </si>
  <si>
    <t>MAp foliar</t>
  </si>
  <si>
    <t>Defensivo Acetamiprid 3 kg</t>
  </si>
  <si>
    <t>Defensivo Match 05 lt</t>
  </si>
  <si>
    <t xml:space="preserve">Óleo Diesel </t>
  </si>
  <si>
    <t>Esterco/carreto</t>
  </si>
  <si>
    <t>Defensivos (após colheita e bicho mineiro)</t>
  </si>
  <si>
    <t>Defensivo - envidor 3 frascos</t>
  </si>
  <si>
    <t>Espalhante l litro</t>
  </si>
  <si>
    <t>Esterco (trnp e comissão) Toninho</t>
  </si>
  <si>
    <t>Esterco (trnp e comissão)</t>
  </si>
  <si>
    <t>Esterco/carreto Toninho</t>
  </si>
  <si>
    <t>Diárias (jogar café no chão)</t>
  </si>
  <si>
    <t xml:space="preserve">Adubo Eurin   </t>
  </si>
  <si>
    <t>Defensivos - primeira aplicão</t>
  </si>
  <si>
    <t>Adubo 20.00.20</t>
  </si>
  <si>
    <t>Regent 01 Kg</t>
  </si>
  <si>
    <t>Dubo (sulfato) e defensivos</t>
  </si>
  <si>
    <t>Zapp 20 litros e Zartan (randup)</t>
  </si>
  <si>
    <t>Sv trator (Altair - 15.320,00) pegou esterco 2.720,00</t>
  </si>
  <si>
    <t>Sv trato</t>
  </si>
  <si>
    <t>Mudas de café - replanta (4.000)</t>
  </si>
  <si>
    <t>Adubo (14 sacas 20 5 20) e defensivos</t>
  </si>
  <si>
    <t>Adubo (12 sacas 200020 e 5 sacas supersimples</t>
  </si>
  <si>
    <t>Mudas de café - replanbta (1.000)</t>
  </si>
  <si>
    <t>mão de obra-replanta café</t>
  </si>
  <si>
    <t>Diárias (aplicação goal)</t>
  </si>
  <si>
    <t>Defensivos (verdadeiro, sperto e admix)</t>
  </si>
  <si>
    <t>Serviçoas trator (Marcinho)</t>
  </si>
  <si>
    <t>Oléo de Laranja (Terpen)</t>
  </si>
  <si>
    <t>Foliar Floema</t>
  </si>
  <si>
    <t>Adubo (30 sc ureia e 12 sc sulfato [parte])</t>
  </si>
  <si>
    <t xml:space="preserve">Óleo vegetal e Prior xtra </t>
  </si>
  <si>
    <t>Actara, Magnésio, MAP e mineral</t>
  </si>
  <si>
    <t>Clorimuron</t>
  </si>
  <si>
    <t>Diárias (capina café velho)</t>
  </si>
  <si>
    <t>Adubos</t>
  </si>
  <si>
    <t>Acido boro</t>
  </si>
  <si>
    <t>Streak e curyom</t>
  </si>
  <si>
    <t>Priori stra, sperto e streak</t>
  </si>
  <si>
    <t>Foliares Floema</t>
  </si>
  <si>
    <t>Adfix</t>
  </si>
  <si>
    <t>Fertilizantes (nitrato de Calcio)</t>
  </si>
  <si>
    <t>Fertilizantes (Boro, Magnesio e potassio)</t>
  </si>
  <si>
    <t>Priori extra, ampligo</t>
  </si>
  <si>
    <t>Zartan e Select</t>
  </si>
  <si>
    <t xml:space="preserve">Diárias </t>
  </si>
  <si>
    <t>Abamectin, Match e Nexide</t>
  </si>
  <si>
    <t>Alto 1000 (comprado da Cisley)</t>
  </si>
  <si>
    <t>defensivo,  curyom (PARTE)</t>
  </si>
  <si>
    <t>Defensivo, vertimec</t>
  </si>
  <si>
    <t>150.00</t>
  </si>
  <si>
    <t>Serviço Altair (trator)</t>
  </si>
  <si>
    <t>serviço colheita (adiantado para Miguel)</t>
  </si>
  <si>
    <t>Diárias</t>
  </si>
  <si>
    <t>óleo diessel para colheita</t>
  </si>
  <si>
    <t>Serviço colheita(adiantado para Miguel)</t>
  </si>
  <si>
    <t>Serviço Marcinho (pulverização)</t>
  </si>
  <si>
    <t xml:space="preserve">Colheita (Natalino)             </t>
  </si>
  <si>
    <t>Recolheidora (café chão)</t>
  </si>
  <si>
    <t>Sv. Altair</t>
  </si>
  <si>
    <t>Compra palha café (donizete)</t>
  </si>
  <si>
    <t>Diarias</t>
  </si>
  <si>
    <t>Data NF</t>
  </si>
  <si>
    <t>Armazenamento café até Janeiro 2023</t>
  </si>
  <si>
    <t>Servico trator Altair (óleo)</t>
  </si>
  <si>
    <t>Armazenamento Café</t>
  </si>
  <si>
    <t>Colheita (adiantado pro Miguel em óleo)</t>
  </si>
  <si>
    <t>Defensifos</t>
  </si>
  <si>
    <t>Colheita café novo</t>
  </si>
  <si>
    <t>Serviço Marcinho (carreta café colhido)</t>
  </si>
  <si>
    <t xml:space="preserve">Esterco </t>
  </si>
  <si>
    <t>Esterco + carreto</t>
  </si>
  <si>
    <t>Análise de solo</t>
  </si>
  <si>
    <t>Sacas pra café</t>
  </si>
  <si>
    <t>Sv. Marcinho e Altair</t>
  </si>
  <si>
    <t>dubo</t>
  </si>
  <si>
    <t>NR NF</t>
  </si>
  <si>
    <t xml:space="preserve">Defensivos </t>
  </si>
  <si>
    <t>000.072.154</t>
  </si>
  <si>
    <t>Adubo</t>
  </si>
  <si>
    <t>000.072.157</t>
  </si>
  <si>
    <t>Lanche - marmitex</t>
  </si>
  <si>
    <t>Lanche - marmiitex</t>
  </si>
  <si>
    <t>Colheita café velho</t>
  </si>
  <si>
    <t>sv trincha - Dalton</t>
  </si>
  <si>
    <t>Diária bateção café</t>
  </si>
  <si>
    <t>oléo diessel colheitadeira</t>
  </si>
  <si>
    <t>sacas</t>
  </si>
  <si>
    <t>Armazenamento</t>
  </si>
  <si>
    <t>Servicos trator Altair</t>
  </si>
  <si>
    <t>Calcário - gesso</t>
  </si>
  <si>
    <t>Carreto Calcário e geeso</t>
  </si>
  <si>
    <t>Colheita café chão</t>
  </si>
  <si>
    <t>Sv Altair (calcario e gesso)</t>
  </si>
  <si>
    <t>Sv Altair (adubação, pulverização e randup)</t>
  </si>
  <si>
    <r>
      <rPr>
        <sz val="12"/>
        <color rgb="FF000000"/>
        <rFont val="Calibri"/>
      </rPr>
      <t xml:space="preserve">Adubo 5 toneladas (ureia e supr simples) </t>
    </r>
    <r>
      <rPr>
        <sz val="12"/>
        <color rgb="FFFF0000"/>
        <rFont val="Calibri"/>
      </rPr>
      <t>parte</t>
    </r>
  </si>
  <si>
    <r>
      <rPr>
        <sz val="12"/>
        <color rgb="FF000000"/>
        <rFont val="Calibri"/>
      </rPr>
      <t xml:space="preserve">Adubo  (ureia e supr simples) </t>
    </r>
    <r>
      <rPr>
        <sz val="12"/>
        <color rgb="FFFF0000"/>
        <rFont val="Calibri"/>
      </rPr>
      <t>parte e carreto</t>
    </r>
  </si>
  <si>
    <t>500 Kg de uréia compado do Altair</t>
  </si>
  <si>
    <t>Diarias desbrotamento</t>
  </si>
  <si>
    <t>Sv Altair</t>
  </si>
  <si>
    <t>Diarias - amarrração galhos de café</t>
  </si>
  <si>
    <t>Sv Altair pulverização</t>
  </si>
  <si>
    <t>Sv Altair trincha</t>
  </si>
  <si>
    <t>Sv Altair  randup</t>
  </si>
  <si>
    <t>Sv Altair pulverizaçÕ</t>
  </si>
  <si>
    <t>Devensivo</t>
  </si>
  <si>
    <t>defensivo</t>
  </si>
  <si>
    <t>Pulverizaçao e carretos</t>
  </si>
  <si>
    <t>Oleo maquinas colheita</t>
  </si>
  <si>
    <t>Sv Altair: varreção,colheita chão e óleo diesel</t>
  </si>
  <si>
    <t>Diárias - jogar café no chão</t>
  </si>
  <si>
    <t>vitim - gradeação roma</t>
  </si>
  <si>
    <t xml:space="preserve">compra esterco </t>
  </si>
  <si>
    <t>calcario</t>
  </si>
  <si>
    <t>Carreto gesso e calcário</t>
  </si>
  <si>
    <t>gradeação niveladora</t>
  </si>
  <si>
    <t>Limpez e rancar tocos</t>
  </si>
  <si>
    <t>Sv altair - esterco, calcário e gesso</t>
  </si>
  <si>
    <t>Sv Marcinho - encher minami, suco, dubo e tampar sucos</t>
  </si>
  <si>
    <t>carretos - mudas e adubo</t>
  </si>
  <si>
    <t>Diárias-plantação de café</t>
  </si>
  <si>
    <t>Sv trincha café novo Eder</t>
  </si>
  <si>
    <t>Diárias amarração de glhos de café e frete</t>
  </si>
  <si>
    <t>Sv sebastião - encher minami</t>
  </si>
  <si>
    <t>cordão</t>
  </si>
  <si>
    <t>diarias capina e frete</t>
  </si>
  <si>
    <t>Sv Altair trincha café velho de cima</t>
  </si>
  <si>
    <t>diárias cordda de viola</t>
  </si>
  <si>
    <t xml:space="preserve"> diárias replante e adubação</t>
  </si>
  <si>
    <t>mudas viveiro proximo CAMIG</t>
  </si>
  <si>
    <t>Mudas viveiro São João</t>
  </si>
  <si>
    <t>Herbecidas</t>
  </si>
  <si>
    <t>armazenamento</t>
  </si>
  <si>
    <t>Gesso</t>
  </si>
  <si>
    <t xml:space="preserve">Combustível trator Marcinho </t>
  </si>
  <si>
    <t>Adubo Yorim</t>
  </si>
  <si>
    <t>adubo Yorim</t>
  </si>
  <si>
    <t>fertilizantes -chão</t>
  </si>
  <si>
    <t>defensivo verdadeiro</t>
  </si>
  <si>
    <t>Adubo ureia</t>
  </si>
  <si>
    <t>adubo ureia</t>
  </si>
  <si>
    <t>adubo</t>
  </si>
  <si>
    <t>defensivos</t>
  </si>
  <si>
    <t>Defenaivo</t>
  </si>
  <si>
    <t>Adubo e defensivo</t>
  </si>
  <si>
    <t>Mudas ( NF tirada em Fev -plantadas Nov 2025</t>
  </si>
  <si>
    <t>sv altair</t>
  </si>
  <si>
    <t>Diárias - amarração café e capina + fretes</t>
  </si>
  <si>
    <t>Melaço</t>
  </si>
  <si>
    <t>sv Marcinho (defensivo via voliar e solo</t>
  </si>
  <si>
    <t>defensivo  pego com Edson</t>
  </si>
  <si>
    <t>cruz</t>
  </si>
  <si>
    <t>herbicida</t>
  </si>
  <si>
    <t>glisofato</t>
  </si>
  <si>
    <t>Clorimurom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</si>
</sst>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#,##0.00"/>
    <numFmt numFmtId="165" formatCode="&quot;R$&quot;\ #,##0.00"/>
    <numFmt numFmtId="166" formatCode="[$-416]d\-mmm;@"/>
  </numFmts>
  <fonts count="25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</font>
    <font>
      <sz val="1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C00000"/>
      <name val="Calibri"/>
      <family val="2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5" borderId="1" xfId="0" applyFill="1" applyBorder="1" applyAlignment="1">
      <alignment vertical="center" wrapText="1"/>
    </xf>
    <xf numFmtId="49" fontId="0" fillId="6" borderId="1" xfId="0" applyNumberFormat="1" applyFill="1" applyBorder="1" applyAlignment="1">
      <alignment vertical="center" wrapText="1"/>
    </xf>
    <xf numFmtId="49" fontId="1" fillId="6" borderId="1" xfId="0" applyNumberFormat="1" applyFont="1" applyFill="1" applyBorder="1"/>
    <xf numFmtId="0" fontId="3" fillId="5" borderId="1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4" fontId="4" fillId="2" borderId="5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4" borderId="6" xfId="0" applyFont="1" applyFill="1" applyBorder="1"/>
    <xf numFmtId="0" fontId="6" fillId="5" borderId="0" xfId="0" applyFont="1" applyFill="1"/>
    <xf numFmtId="0" fontId="6" fillId="5" borderId="6" xfId="0" applyFont="1" applyFill="1" applyBorder="1"/>
    <xf numFmtId="0" fontId="8" fillId="0" borderId="6" xfId="0" applyFont="1" applyBorder="1"/>
    <xf numFmtId="0" fontId="8" fillId="5" borderId="0" xfId="0" applyFont="1" applyFill="1"/>
    <xf numFmtId="0" fontId="8" fillId="5" borderId="6" xfId="0" applyFont="1" applyFill="1" applyBorder="1"/>
    <xf numFmtId="0" fontId="4" fillId="7" borderId="7" xfId="0" applyFont="1" applyFill="1" applyBorder="1" applyAlignment="1">
      <alignment horizontal="left"/>
    </xf>
    <xf numFmtId="0" fontId="8" fillId="0" borderId="10" xfId="0" applyFont="1" applyBorder="1"/>
    <xf numFmtId="0" fontId="4" fillId="8" borderId="7" xfId="0" applyFont="1" applyFill="1" applyBorder="1" applyAlignment="1">
      <alignment horizontal="left"/>
    </xf>
    <xf numFmtId="0" fontId="9" fillId="0" borderId="7" xfId="0" applyFont="1" applyBorder="1" applyAlignment="1">
      <alignment horizontal="left" vertical="center"/>
    </xf>
    <xf numFmtId="4" fontId="9" fillId="0" borderId="8" xfId="0" applyNumberFormat="1" applyFont="1" applyBorder="1"/>
    <xf numFmtId="4" fontId="9" fillId="5" borderId="9" xfId="0" applyNumberFormat="1" applyFont="1" applyFill="1" applyBorder="1"/>
    <xf numFmtId="0" fontId="1" fillId="0" borderId="10" xfId="0" applyFont="1" applyBorder="1"/>
    <xf numFmtId="0" fontId="1" fillId="5" borderId="0" xfId="0" applyFont="1" applyFill="1"/>
    <xf numFmtId="0" fontId="5" fillId="0" borderId="0" xfId="0" applyFont="1"/>
    <xf numFmtId="0" fontId="0" fillId="5" borderId="0" xfId="0" applyFill="1"/>
    <xf numFmtId="0" fontId="10" fillId="9" borderId="1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164" fontId="11" fillId="9" borderId="13" xfId="0" applyNumberFormat="1" applyFont="1" applyFill="1" applyBorder="1"/>
    <xf numFmtId="164" fontId="5" fillId="6" borderId="1" xfId="0" applyNumberFormat="1" applyFont="1" applyFill="1" applyBorder="1"/>
    <xf numFmtId="164" fontId="5" fillId="6" borderId="2" xfId="0" applyNumberFormat="1" applyFont="1" applyFill="1" applyBorder="1"/>
    <xf numFmtId="164" fontId="5" fillId="5" borderId="1" xfId="0" applyNumberFormat="1" applyFont="1" applyFill="1" applyBorder="1"/>
    <xf numFmtId="164" fontId="5" fillId="5" borderId="2" xfId="0" applyNumberFormat="1" applyFont="1" applyFill="1" applyBorder="1"/>
    <xf numFmtId="164" fontId="7" fillId="3" borderId="4" xfId="0" applyNumberFormat="1" applyFont="1" applyFill="1" applyBorder="1"/>
    <xf numFmtId="164" fontId="8" fillId="5" borderId="1" xfId="0" applyNumberFormat="1" applyFont="1" applyFill="1" applyBorder="1"/>
    <xf numFmtId="164" fontId="8" fillId="5" borderId="2" xfId="0" applyNumberFormat="1" applyFont="1" applyFill="1" applyBorder="1"/>
    <xf numFmtId="164" fontId="7" fillId="7" borderId="8" xfId="0" applyNumberFormat="1" applyFont="1" applyFill="1" applyBorder="1"/>
    <xf numFmtId="164" fontId="7" fillId="0" borderId="11" xfId="0" applyNumberFormat="1" applyFont="1" applyBorder="1"/>
    <xf numFmtId="164" fontId="7" fillId="8" borderId="8" xfId="0" applyNumberFormat="1" applyFont="1" applyFill="1" applyBorder="1"/>
    <xf numFmtId="164" fontId="0" fillId="0" borderId="0" xfId="0" applyNumberFormat="1"/>
    <xf numFmtId="2" fontId="0" fillId="0" borderId="0" xfId="0" applyNumberFormat="1"/>
    <xf numFmtId="164" fontId="5" fillId="0" borderId="0" xfId="0" applyNumberFormat="1" applyFont="1"/>
    <xf numFmtId="0" fontId="12" fillId="9" borderId="14" xfId="0" applyFont="1" applyFill="1" applyBorder="1" applyAlignment="1">
      <alignment wrapText="1"/>
    </xf>
    <xf numFmtId="164" fontId="11" fillId="9" borderId="1" xfId="0" applyNumberFormat="1" applyFont="1" applyFill="1" applyBorder="1" applyAlignment="1">
      <alignment wrapText="1"/>
    </xf>
    <xf numFmtId="164" fontId="11" fillId="9" borderId="13" xfId="0" applyNumberFormat="1" applyFont="1" applyFill="1" applyBorder="1" applyAlignment="1">
      <alignment wrapText="1"/>
    </xf>
    <xf numFmtId="164" fontId="11" fillId="9" borderId="14" xfId="0" applyNumberFormat="1" applyFont="1" applyFill="1" applyBorder="1" applyAlignment="1">
      <alignment wrapText="1"/>
    </xf>
    <xf numFmtId="164" fontId="11" fillId="9" borderId="15" xfId="0" applyNumberFormat="1" applyFont="1" applyFill="1" applyBorder="1" applyAlignment="1">
      <alignment wrapText="1"/>
    </xf>
    <xf numFmtId="0" fontId="10" fillId="10" borderId="14" xfId="0" applyFont="1" applyFill="1" applyBorder="1" applyAlignment="1">
      <alignment wrapText="1"/>
    </xf>
    <xf numFmtId="49" fontId="0" fillId="10" borderId="1" xfId="0" applyNumberFormat="1" applyFill="1" applyBorder="1" applyAlignment="1">
      <alignment vertical="center" wrapText="1"/>
    </xf>
    <xf numFmtId="164" fontId="11" fillId="10" borderId="14" xfId="0" applyNumberFormat="1" applyFont="1" applyFill="1" applyBorder="1" applyAlignment="1">
      <alignment wrapText="1"/>
    </xf>
    <xf numFmtId="164" fontId="11" fillId="10" borderId="15" xfId="0" applyNumberFormat="1" applyFont="1" applyFill="1" applyBorder="1" applyAlignment="1">
      <alignment wrapText="1"/>
    </xf>
    <xf numFmtId="164" fontId="5" fillId="10" borderId="2" xfId="0" applyNumberFormat="1" applyFont="1" applyFill="1" applyBorder="1"/>
    <xf numFmtId="49" fontId="13" fillId="6" borderId="1" xfId="0" applyNumberFormat="1" applyFont="1" applyFill="1" applyBorder="1" applyAlignment="1">
      <alignment vertical="center" wrapText="1"/>
    </xf>
    <xf numFmtId="164" fontId="14" fillId="6" borderId="1" xfId="0" applyNumberFormat="1" applyFont="1" applyFill="1" applyBorder="1"/>
    <xf numFmtId="0" fontId="2" fillId="0" borderId="16" xfId="0" applyFont="1" applyBorder="1"/>
    <xf numFmtId="0" fontId="0" fillId="0" borderId="16" xfId="0" applyBorder="1"/>
    <xf numFmtId="165" fontId="0" fillId="0" borderId="16" xfId="0" applyNumberFormat="1" applyBorder="1"/>
    <xf numFmtId="165" fontId="2" fillId="0" borderId="16" xfId="0" applyNumberFormat="1" applyFont="1" applyBorder="1"/>
    <xf numFmtId="165" fontId="0" fillId="0" borderId="17" xfId="0" applyNumberFormat="1" applyBorder="1"/>
    <xf numFmtId="165" fontId="2" fillId="0" borderId="17" xfId="0" applyNumberFormat="1" applyFont="1" applyBorder="1"/>
    <xf numFmtId="164" fontId="15" fillId="6" borderId="1" xfId="0" applyNumberFormat="1" applyFont="1" applyFill="1" applyBorder="1"/>
    <xf numFmtId="164" fontId="16" fillId="9" borderId="15" xfId="0" applyNumberFormat="1" applyFont="1" applyFill="1" applyBorder="1" applyAlignment="1">
      <alignment wrapText="1"/>
    </xf>
    <xf numFmtId="0" fontId="2" fillId="11" borderId="16" xfId="0" applyFont="1" applyFill="1" applyBorder="1" applyAlignment="1">
      <alignment horizontal="center"/>
    </xf>
    <xf numFmtId="0" fontId="2" fillId="11" borderId="17" xfId="0" applyFont="1" applyFill="1" applyBorder="1" applyAlignment="1">
      <alignment horizontal="center"/>
    </xf>
    <xf numFmtId="165" fontId="0" fillId="0" borderId="0" xfId="0" applyNumberFormat="1"/>
    <xf numFmtId="49" fontId="13" fillId="6" borderId="1" xfId="0" applyNumberFormat="1" applyFont="1" applyFill="1" applyBorder="1"/>
    <xf numFmtId="164" fontId="16" fillId="9" borderId="14" xfId="0" applyNumberFormat="1" applyFont="1" applyFill="1" applyBorder="1" applyAlignment="1">
      <alignment wrapText="1"/>
    </xf>
    <xf numFmtId="164" fontId="11" fillId="9" borderId="15" xfId="0" applyNumberFormat="1" applyFont="1" applyFill="1" applyBorder="1" applyAlignment="1">
      <alignment horizontal="right" wrapText="1"/>
    </xf>
    <xf numFmtId="164" fontId="16" fillId="9" borderId="15" xfId="0" applyNumberFormat="1" applyFont="1" applyFill="1" applyBorder="1" applyAlignment="1">
      <alignment horizontal="right" wrapText="1"/>
    </xf>
    <xf numFmtId="164" fontId="17" fillId="9" borderId="15" xfId="0" applyNumberFormat="1" applyFont="1" applyFill="1" applyBorder="1" applyAlignment="1">
      <alignment wrapText="1"/>
    </xf>
    <xf numFmtId="164" fontId="18" fillId="9" borderId="15" xfId="0" applyNumberFormat="1" applyFont="1" applyFill="1" applyBorder="1" applyAlignment="1">
      <alignment wrapText="1"/>
    </xf>
    <xf numFmtId="166" fontId="10" fillId="9" borderId="1" xfId="0" applyNumberFormat="1" applyFont="1" applyFill="1" applyBorder="1" applyAlignment="1">
      <alignment wrapText="1"/>
    </xf>
    <xf numFmtId="166" fontId="10" fillId="9" borderId="14" xfId="0" applyNumberFormat="1" applyFont="1" applyFill="1" applyBorder="1" applyAlignment="1">
      <alignment wrapText="1"/>
    </xf>
    <xf numFmtId="166" fontId="0" fillId="6" borderId="1" xfId="0" applyNumberFormat="1" applyFill="1" applyBorder="1" applyAlignment="1">
      <alignment vertical="center" wrapText="1"/>
    </xf>
    <xf numFmtId="166" fontId="12" fillId="9" borderId="14" xfId="0" applyNumberFormat="1" applyFont="1" applyFill="1" applyBorder="1" applyAlignment="1">
      <alignment wrapText="1"/>
    </xf>
    <xf numFmtId="8" fontId="2" fillId="0" borderId="16" xfId="0" applyNumberFormat="1" applyFont="1" applyBorder="1"/>
    <xf numFmtId="0" fontId="2" fillId="12" borderId="16" xfId="0" applyFont="1" applyFill="1" applyBorder="1"/>
    <xf numFmtId="49" fontId="21" fillId="6" borderId="1" xfId="0" applyNumberFormat="1" applyFont="1" applyFill="1" applyBorder="1" applyAlignment="1">
      <alignment vertical="center" wrapText="1"/>
    </xf>
    <xf numFmtId="49" fontId="22" fillId="6" borderId="1" xfId="0" applyNumberFormat="1" applyFont="1" applyFill="1" applyBorder="1" applyAlignment="1">
      <alignment vertical="center" wrapText="1"/>
    </xf>
    <xf numFmtId="0" fontId="23" fillId="2" borderId="4" xfId="0" applyFont="1" applyFill="1" applyBorder="1" applyAlignment="1">
      <alignment horizontal="center" vertical="center"/>
    </xf>
    <xf numFmtId="49" fontId="24" fillId="6" borderId="1" xfId="0" applyNumberFormat="1" applyFont="1" applyFill="1" applyBorder="1" applyAlignment="1">
      <alignment vertical="center" wrapText="1"/>
    </xf>
    <xf numFmtId="165" fontId="5" fillId="0" borderId="0" xfId="0" applyNumberFormat="1" applyFont="1"/>
    <xf numFmtId="0" fontId="4" fillId="3" borderId="1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FFE6"/>
      <color rgb="FFE7DBD9"/>
      <color rgb="FFE6D0E1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uglas Cruz" id="{5DAAA7A2-F8C0-4A37-9125-C6772B67974C}" userId="09ed690ae87327d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3" dT="2021-05-28T17:52:36.39" personId="{5DAAA7A2-F8C0-4A37-9125-C6772B67974C}" id="{8C40571F-3B8B-4D06-B3F4-217EA12904A0}">
    <text>Antes era R$10.535,00 que CRUZ pagou. Douglas fez o acerto de R$8.000,00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1AC1-753B-3149-9289-45FBDBEE0D72}">
  <dimension ref="A1:L15"/>
  <sheetViews>
    <sheetView workbookViewId="0">
      <selection activeCell="I4" sqref="I4"/>
    </sheetView>
  </sheetViews>
  <sheetFormatPr defaultColWidth="11" defaultRowHeight="15.75" customHeight="1"/>
  <cols>
    <col min="2" max="7" width="14" bestFit="1" customWidth="1"/>
    <col min="8" max="8" width="14" customWidth="1"/>
    <col min="9" max="9" width="12.5" bestFit="1" customWidth="1"/>
    <col min="10" max="10" width="14.625" customWidth="1"/>
    <col min="12" max="12" width="12.625" bestFit="1" customWidth="1"/>
  </cols>
  <sheetData>
    <row r="1" spans="1:12">
      <c r="A1" s="62" t="s">
        <v>0</v>
      </c>
      <c r="B1" s="62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2" t="s">
        <v>8</v>
      </c>
    </row>
    <row r="2" spans="1:12">
      <c r="A2" s="55" t="s">
        <v>9</v>
      </c>
      <c r="B2" s="56">
        <f>'Ano 2020 - Café'!O44</f>
        <v>35896</v>
      </c>
      <c r="C2" s="56">
        <f>'Ano 2021 - Café'!O63</f>
        <v>55635.69</v>
      </c>
      <c r="D2" s="56">
        <f>'Ano 2022 - café'!O48</f>
        <v>57936.01</v>
      </c>
      <c r="E2" s="56">
        <f>'Ano 2023 - café'!P25</f>
        <v>65452.979999999996</v>
      </c>
      <c r="F2" s="56">
        <f>'Ano 2024 - café'!P31</f>
        <v>40365</v>
      </c>
      <c r="G2" s="56">
        <f>'Ano 2025 - café'!P68</f>
        <v>92124.14</v>
      </c>
      <c r="H2" s="56">
        <f>'Ano 2026 - café'!P50</f>
        <v>50068.25</v>
      </c>
      <c r="I2" s="57">
        <f>SUM(B2:H2)</f>
        <v>397478.07</v>
      </c>
    </row>
    <row r="3" spans="1:12">
      <c r="A3" s="55" t="s">
        <v>10</v>
      </c>
      <c r="B3" s="56">
        <f>'Ano 2020 - Café'!O42</f>
        <v>48797.89</v>
      </c>
      <c r="C3" s="58">
        <f>'Ano 2021 - Café'!O61</f>
        <v>52050.5</v>
      </c>
      <c r="D3" s="58">
        <f>'Ano 2022 - café'!O46</f>
        <v>48415.33</v>
      </c>
      <c r="E3" s="58">
        <f>'Ano 2023 - café'!P23</f>
        <v>63966.54</v>
      </c>
      <c r="F3" s="58">
        <f>'Ano 2024 - café'!P29</f>
        <v>97575.55</v>
      </c>
      <c r="G3" s="58">
        <f>'Ano 2025 - café'!P66</f>
        <v>119328.76</v>
      </c>
      <c r="H3" s="58">
        <f>'Ano 2026 - café'!P48</f>
        <v>19688.32</v>
      </c>
      <c r="I3" s="57">
        <f>SUM(B3:H3)</f>
        <v>449822.89</v>
      </c>
    </row>
    <row r="4" spans="1:12">
      <c r="A4" s="54" t="s">
        <v>11</v>
      </c>
      <c r="B4" s="57">
        <f>B2+B3</f>
        <v>84693.89</v>
      </c>
      <c r="C4" s="59">
        <f t="shared" ref="C4" si="0">C2+C3</f>
        <v>107686.19</v>
      </c>
      <c r="D4" s="59">
        <f>SUM(D2:D3)</f>
        <v>106351.34</v>
      </c>
      <c r="E4" s="59">
        <f>SUM(E2:E3)</f>
        <v>129419.51999999999</v>
      </c>
      <c r="F4" s="59">
        <f>SUM(F2:F3)</f>
        <v>137940.54999999999</v>
      </c>
      <c r="G4" s="59">
        <f>SUM(G2:G3)</f>
        <v>211452.9</v>
      </c>
      <c r="H4" s="59">
        <f>SUM(H2:H3)</f>
        <v>69756.570000000007</v>
      </c>
      <c r="I4" s="57">
        <f>SUM(I2:I3)</f>
        <v>847300.96</v>
      </c>
      <c r="L4" s="64"/>
    </row>
    <row r="6" spans="1:12" ht="15.75" customHeight="1">
      <c r="I6" s="76" t="s">
        <v>12</v>
      </c>
      <c r="J6" s="75">
        <f>I2-I3</f>
        <v>-52344.820000000007</v>
      </c>
      <c r="K6" s="64"/>
    </row>
    <row r="7" spans="1:12" ht="15.75" customHeight="1">
      <c r="I7" s="76" t="s">
        <v>13</v>
      </c>
      <c r="J7" s="57">
        <f>I3-I2</f>
        <v>52344.820000000007</v>
      </c>
    </row>
    <row r="10" spans="1:12">
      <c r="L10" s="64"/>
    </row>
    <row r="13" spans="1:12"/>
    <row r="14" spans="1:12">
      <c r="L14" s="64"/>
    </row>
    <row r="15" spans="1:12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D88E-41B1-41D6-8758-A0A940F60416}">
  <dimension ref="A1:J10"/>
  <sheetViews>
    <sheetView tabSelected="1" workbookViewId="0">
      <selection activeCell="D4" sqref="D4"/>
    </sheetView>
  </sheetViews>
  <sheetFormatPr defaultRowHeight="15.6"/>
  <cols>
    <col min="2" max="2" width="13.75" customWidth="1"/>
    <col min="3" max="6" width="14.375" bestFit="1" customWidth="1"/>
    <col min="7" max="7" width="12.75" bestFit="1" customWidth="1"/>
    <col min="10" max="10" width="12.625" bestFit="1" customWidth="1"/>
  </cols>
  <sheetData>
    <row r="1" spans="1:10">
      <c r="A1" s="62" t="s">
        <v>0</v>
      </c>
      <c r="B1" s="62">
        <v>2024</v>
      </c>
      <c r="C1" s="62">
        <v>2025</v>
      </c>
      <c r="D1" s="62">
        <v>2026</v>
      </c>
      <c r="E1" s="62">
        <v>2027</v>
      </c>
      <c r="F1" s="62">
        <v>2028</v>
      </c>
      <c r="G1" s="62" t="s">
        <v>8</v>
      </c>
    </row>
    <row r="2" spans="1:10">
      <c r="A2" s="55" t="s">
        <v>9</v>
      </c>
      <c r="B2" s="56">
        <f>77700+46987.88+56879.83+64695.21</f>
        <v>246262.92</v>
      </c>
      <c r="C2" s="58"/>
      <c r="D2" s="58">
        <f>40032.64</f>
        <v>40032.639999999999</v>
      </c>
      <c r="E2" s="58"/>
      <c r="F2" s="58"/>
      <c r="G2" s="57">
        <f>B2+C2+D2</f>
        <v>286295.56</v>
      </c>
    </row>
    <row r="3" spans="1:10">
      <c r="A3" s="55" t="s">
        <v>10</v>
      </c>
      <c r="B3" s="56">
        <f>77700+46987.88+56879.83+64695.21</f>
        <v>246262.92</v>
      </c>
      <c r="C3" s="58"/>
      <c r="D3" s="58">
        <f>40032.64+29644</f>
        <v>69676.639999999999</v>
      </c>
      <c r="E3" s="58"/>
      <c r="F3" s="58"/>
      <c r="G3" s="57">
        <f>B3+C3+D3</f>
        <v>315939.56</v>
      </c>
    </row>
    <row r="4" spans="1:10">
      <c r="A4" s="54" t="s">
        <v>11</v>
      </c>
      <c r="B4" s="57">
        <f>B2+B3</f>
        <v>492525.84</v>
      </c>
      <c r="C4" s="59">
        <f t="shared" ref="C4" si="0">C2+C3</f>
        <v>0</v>
      </c>
      <c r="D4" s="59">
        <f>SUM(D2:D3)</f>
        <v>109709.28</v>
      </c>
      <c r="E4" s="59">
        <f>SUM(E2:E3)</f>
        <v>0</v>
      </c>
      <c r="F4" s="59">
        <f>SUM(F2:F3)</f>
        <v>0</v>
      </c>
      <c r="G4" s="57">
        <f>SUM(G2:G3)</f>
        <v>602235.12</v>
      </c>
    </row>
    <row r="6" spans="1:10">
      <c r="G6" s="64"/>
    </row>
    <row r="10" spans="1:10">
      <c r="J10" s="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3D77-A298-2943-9275-EA794E7536E1}">
  <sheetPr>
    <outlinePr showOutlineSymbols="0"/>
    <pageSetUpPr fitToPage="1"/>
  </sheetPr>
  <dimension ref="A1:P48"/>
  <sheetViews>
    <sheetView showGridLines="0" showZeros="0" showOutlineSymbols="0" defaultGridColor="0" view="pageBreakPreview" colorId="9" zoomScaleNormal="60" zoomScaleSheetLayoutView="100" workbookViewId="0">
      <pane ySplit="1" topLeftCell="B34" activePane="bottomLeft" state="frozen"/>
      <selection pane="bottomLeft" activeCell="A39" sqref="A39"/>
    </sheetView>
  </sheetViews>
  <sheetFormatPr defaultColWidth="8.875" defaultRowHeight="15.6"/>
  <cols>
    <col min="1" max="1" width="42.875" customWidth="1"/>
    <col min="2" max="2" width="18.5" customWidth="1"/>
    <col min="3" max="3" width="13.875" bestFit="1" customWidth="1"/>
    <col min="4" max="4" width="11.625" hidden="1" customWidth="1"/>
    <col min="5" max="5" width="11.125" hidden="1" customWidth="1"/>
    <col min="6" max="6" width="11.875" hidden="1" customWidth="1"/>
    <col min="7" max="7" width="10.375" hidden="1" customWidth="1"/>
    <col min="8" max="8" width="11.375" hidden="1" customWidth="1"/>
    <col min="9" max="9" width="10.375" hidden="1" customWidth="1"/>
    <col min="10" max="11" width="12.625" style="24" bestFit="1" customWidth="1"/>
    <col min="12" max="13" width="13.875" style="24" bestFit="1" customWidth="1"/>
    <col min="14" max="14" width="12.625" style="24" bestFit="1" customWidth="1"/>
    <col min="15" max="15" width="19.625" style="24" bestFit="1" customWidth="1"/>
    <col min="16" max="16" width="0.125" customWidth="1"/>
    <col min="17" max="16384" width="8.875" style="25"/>
  </cols>
  <sheetData>
    <row r="1" spans="1:16" s="9" customFormat="1" ht="20.100000000000001" customHeight="1" thickBot="1">
      <c r="A1" s="5" t="s">
        <v>14</v>
      </c>
      <c r="B1" s="5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7" t="s">
        <v>28</v>
      </c>
      <c r="P1" s="8"/>
    </row>
    <row r="2" spans="1:16" s="11" customFormat="1">
      <c r="A2" s="26" t="s">
        <v>29</v>
      </c>
      <c r="B2" s="2" t="s">
        <v>9</v>
      </c>
      <c r="C2" s="28">
        <v>15000</v>
      </c>
      <c r="D2" s="28" t="s">
        <v>30</v>
      </c>
      <c r="E2" s="28" t="s">
        <v>30</v>
      </c>
      <c r="F2" s="28" t="s">
        <v>30</v>
      </c>
      <c r="G2" s="28" t="s">
        <v>30</v>
      </c>
      <c r="H2" s="28" t="s">
        <v>30</v>
      </c>
      <c r="I2" s="28" t="s">
        <v>30</v>
      </c>
      <c r="J2" s="28"/>
      <c r="K2" s="28" t="s">
        <v>30</v>
      </c>
      <c r="L2" s="28" t="s">
        <v>30</v>
      </c>
      <c r="M2" s="28" t="s">
        <v>30</v>
      </c>
      <c r="N2" s="29"/>
      <c r="O2" s="30">
        <f>SUM(C2:N2)</f>
        <v>15000</v>
      </c>
      <c r="P2" s="10"/>
    </row>
    <row r="3" spans="1:16" s="11" customFormat="1">
      <c r="A3" s="26" t="s">
        <v>29</v>
      </c>
      <c r="B3" s="2" t="s">
        <v>10</v>
      </c>
      <c r="C3" s="28">
        <v>12000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  <c r="O3" s="30">
        <v>12000</v>
      </c>
      <c r="P3" s="10"/>
    </row>
    <row r="4" spans="1:16" s="11" customFormat="1">
      <c r="A4" s="26" t="s">
        <v>31</v>
      </c>
      <c r="B4" s="2" t="s">
        <v>10</v>
      </c>
      <c r="C4" s="43" t="s">
        <v>30</v>
      </c>
      <c r="D4" s="44" t="s">
        <v>30</v>
      </c>
      <c r="E4" s="44" t="s">
        <v>30</v>
      </c>
      <c r="F4" s="44" t="s">
        <v>30</v>
      </c>
      <c r="G4" s="44" t="s">
        <v>30</v>
      </c>
      <c r="H4" s="44" t="s">
        <v>30</v>
      </c>
      <c r="I4" s="44" t="s">
        <v>30</v>
      </c>
      <c r="J4" s="44">
        <v>2624</v>
      </c>
      <c r="K4" s="44" t="s">
        <v>30</v>
      </c>
      <c r="L4" s="44" t="s">
        <v>30</v>
      </c>
      <c r="M4" s="44" t="s">
        <v>30</v>
      </c>
      <c r="N4" s="44" t="s">
        <v>30</v>
      </c>
      <c r="O4" s="30">
        <f>SUM(C4:N4)</f>
        <v>2624</v>
      </c>
      <c r="P4" s="10"/>
    </row>
    <row r="5" spans="1:16" s="11" customFormat="1">
      <c r="A5" s="27" t="s">
        <v>32</v>
      </c>
      <c r="B5" s="2" t="s">
        <v>9</v>
      </c>
      <c r="C5" s="45" t="s">
        <v>30</v>
      </c>
      <c r="D5" s="46" t="s">
        <v>30</v>
      </c>
      <c r="E5" s="46" t="s">
        <v>30</v>
      </c>
      <c r="F5" s="46" t="s">
        <v>30</v>
      </c>
      <c r="G5" s="46" t="s">
        <v>30</v>
      </c>
      <c r="H5" s="46" t="s">
        <v>30</v>
      </c>
      <c r="I5" s="46" t="s">
        <v>30</v>
      </c>
      <c r="J5" s="46"/>
      <c r="K5" s="46">
        <v>2130</v>
      </c>
      <c r="L5" s="46" t="s">
        <v>30</v>
      </c>
      <c r="M5" s="46" t="s">
        <v>30</v>
      </c>
      <c r="N5" s="46" t="s">
        <v>30</v>
      </c>
      <c r="O5" s="30">
        <f t="shared" ref="O5:O38" si="0">SUM(C5:N5)</f>
        <v>2130</v>
      </c>
      <c r="P5" s="10"/>
    </row>
    <row r="6" spans="1:16" s="11" customFormat="1">
      <c r="A6" s="27" t="s">
        <v>33</v>
      </c>
      <c r="B6" s="2" t="s">
        <v>10</v>
      </c>
      <c r="C6" s="45" t="s">
        <v>30</v>
      </c>
      <c r="D6" s="46" t="s">
        <v>30</v>
      </c>
      <c r="E6" s="46" t="s">
        <v>30</v>
      </c>
      <c r="F6" s="46" t="s">
        <v>30</v>
      </c>
      <c r="G6" s="46" t="s">
        <v>30</v>
      </c>
      <c r="H6" s="46" t="s">
        <v>30</v>
      </c>
      <c r="I6" s="46" t="s">
        <v>30</v>
      </c>
      <c r="J6" s="46" t="s">
        <v>30</v>
      </c>
      <c r="K6" s="46">
        <v>1100</v>
      </c>
      <c r="L6" s="46" t="s">
        <v>30</v>
      </c>
      <c r="M6" s="46" t="s">
        <v>30</v>
      </c>
      <c r="N6" s="46" t="s">
        <v>30</v>
      </c>
      <c r="O6" s="30">
        <f t="shared" si="0"/>
        <v>1100</v>
      </c>
      <c r="P6" s="10"/>
    </row>
    <row r="7" spans="1:16" s="11" customFormat="1" ht="15.95" customHeight="1">
      <c r="A7" s="42" t="s">
        <v>34</v>
      </c>
      <c r="B7" s="3" t="s">
        <v>10</v>
      </c>
      <c r="C7" s="45" t="s">
        <v>30</v>
      </c>
      <c r="D7" s="46" t="s">
        <v>30</v>
      </c>
      <c r="E7" s="46" t="s">
        <v>30</v>
      </c>
      <c r="F7" s="46" t="s">
        <v>30</v>
      </c>
      <c r="G7" s="46" t="s">
        <v>30</v>
      </c>
      <c r="H7" s="46" t="s">
        <v>30</v>
      </c>
      <c r="I7" s="46" t="s">
        <v>30</v>
      </c>
      <c r="J7" s="46" t="s">
        <v>30</v>
      </c>
      <c r="K7" s="46">
        <v>1980</v>
      </c>
      <c r="L7" s="46" t="s">
        <v>30</v>
      </c>
      <c r="M7" s="46" t="s">
        <v>30</v>
      </c>
      <c r="N7" s="46" t="s">
        <v>30</v>
      </c>
      <c r="O7" s="30">
        <f>SUM(C7:N7)</f>
        <v>1980</v>
      </c>
      <c r="P7" s="10"/>
    </row>
    <row r="8" spans="1:16" s="11" customFormat="1" ht="15.95" customHeight="1">
      <c r="A8" s="42" t="s">
        <v>35</v>
      </c>
      <c r="B8" s="3" t="s">
        <v>10</v>
      </c>
      <c r="C8" s="45" t="s">
        <v>30</v>
      </c>
      <c r="D8" s="46" t="s">
        <v>30</v>
      </c>
      <c r="E8" s="46" t="s">
        <v>30</v>
      </c>
      <c r="F8" s="46" t="s">
        <v>30</v>
      </c>
      <c r="G8" s="46" t="s">
        <v>30</v>
      </c>
      <c r="H8" s="46" t="s">
        <v>30</v>
      </c>
      <c r="I8" s="46" t="s">
        <v>30</v>
      </c>
      <c r="J8" s="46" t="s">
        <v>30</v>
      </c>
      <c r="K8" s="46" t="s">
        <v>30</v>
      </c>
      <c r="L8" s="46">
        <v>354</v>
      </c>
      <c r="M8" s="46" t="s">
        <v>30</v>
      </c>
      <c r="N8" s="46" t="s">
        <v>30</v>
      </c>
      <c r="O8" s="30">
        <f t="shared" si="0"/>
        <v>354</v>
      </c>
      <c r="P8" s="10"/>
    </row>
    <row r="9" spans="1:16" s="11" customFormat="1" ht="15.95" customHeight="1">
      <c r="A9" s="42" t="s">
        <v>36</v>
      </c>
      <c r="B9" s="3" t="s">
        <v>10</v>
      </c>
      <c r="C9" s="45" t="s">
        <v>30</v>
      </c>
      <c r="D9" s="46" t="s">
        <v>30</v>
      </c>
      <c r="E9" s="46" t="s">
        <v>30</v>
      </c>
      <c r="F9" s="46" t="s">
        <v>30</v>
      </c>
      <c r="G9" s="46" t="s">
        <v>30</v>
      </c>
      <c r="H9" s="46" t="s">
        <v>30</v>
      </c>
      <c r="I9" s="46" t="s">
        <v>30</v>
      </c>
      <c r="J9" s="46" t="s">
        <v>30</v>
      </c>
      <c r="K9" s="46" t="s">
        <v>30</v>
      </c>
      <c r="L9" s="46">
        <v>284</v>
      </c>
      <c r="M9" s="46" t="s">
        <v>30</v>
      </c>
      <c r="N9" s="46" t="s">
        <v>30</v>
      </c>
      <c r="O9" s="30">
        <f t="shared" si="0"/>
        <v>284</v>
      </c>
      <c r="P9" s="10"/>
    </row>
    <row r="10" spans="1:16" s="11" customFormat="1" ht="15.95" customHeight="1">
      <c r="A10" s="42" t="s">
        <v>37</v>
      </c>
      <c r="B10" s="3" t="s">
        <v>10</v>
      </c>
      <c r="C10" s="45" t="s">
        <v>30</v>
      </c>
      <c r="D10" s="46" t="s">
        <v>30</v>
      </c>
      <c r="E10" s="46" t="s">
        <v>30</v>
      </c>
      <c r="F10" s="46" t="s">
        <v>30</v>
      </c>
      <c r="G10" s="46" t="s">
        <v>30</v>
      </c>
      <c r="H10" s="46" t="s">
        <v>30</v>
      </c>
      <c r="I10" s="46" t="s">
        <v>30</v>
      </c>
      <c r="J10" s="46" t="s">
        <v>30</v>
      </c>
      <c r="K10" s="46" t="s">
        <v>30</v>
      </c>
      <c r="L10" s="46">
        <v>135</v>
      </c>
      <c r="M10" s="46" t="s">
        <v>30</v>
      </c>
      <c r="N10" s="46" t="s">
        <v>30</v>
      </c>
      <c r="O10" s="30">
        <f t="shared" si="0"/>
        <v>135</v>
      </c>
      <c r="P10" s="10"/>
    </row>
    <row r="11" spans="1:16" s="11" customFormat="1" ht="15.95" customHeight="1">
      <c r="A11" s="42" t="s">
        <v>38</v>
      </c>
      <c r="B11" s="3" t="s">
        <v>10</v>
      </c>
      <c r="C11" s="45" t="s">
        <v>30</v>
      </c>
      <c r="D11" s="46" t="s">
        <v>30</v>
      </c>
      <c r="E11" s="46" t="s">
        <v>30</v>
      </c>
      <c r="F11" s="46" t="s">
        <v>30</v>
      </c>
      <c r="G11" s="46" t="s">
        <v>30</v>
      </c>
      <c r="H11" s="46" t="s">
        <v>30</v>
      </c>
      <c r="I11" s="46" t="s">
        <v>30</v>
      </c>
      <c r="J11" s="46" t="s">
        <v>30</v>
      </c>
      <c r="K11" s="46" t="s">
        <v>30</v>
      </c>
      <c r="L11" s="46">
        <v>343</v>
      </c>
      <c r="M11" s="46" t="s">
        <v>30</v>
      </c>
      <c r="N11" s="46" t="s">
        <v>30</v>
      </c>
      <c r="O11" s="30">
        <f t="shared" si="0"/>
        <v>343</v>
      </c>
      <c r="P11" s="10"/>
    </row>
    <row r="12" spans="1:16" s="11" customFormat="1" ht="15.95" customHeight="1">
      <c r="A12" s="42" t="s">
        <v>39</v>
      </c>
      <c r="B12" s="3" t="s">
        <v>10</v>
      </c>
      <c r="C12" s="45" t="s">
        <v>30</v>
      </c>
      <c r="D12" s="46" t="s">
        <v>30</v>
      </c>
      <c r="E12" s="46" t="s">
        <v>30</v>
      </c>
      <c r="F12" s="46" t="s">
        <v>30</v>
      </c>
      <c r="G12" s="46" t="s">
        <v>30</v>
      </c>
      <c r="H12" s="46" t="s">
        <v>30</v>
      </c>
      <c r="I12" s="46" t="s">
        <v>30</v>
      </c>
      <c r="J12" s="46" t="s">
        <v>30</v>
      </c>
      <c r="K12" s="46" t="s">
        <v>30</v>
      </c>
      <c r="L12" s="46">
        <v>590</v>
      </c>
      <c r="M12" s="46" t="s">
        <v>30</v>
      </c>
      <c r="N12" s="46" t="s">
        <v>30</v>
      </c>
      <c r="O12" s="30">
        <f t="shared" si="0"/>
        <v>590</v>
      </c>
      <c r="P12" s="10"/>
    </row>
    <row r="13" spans="1:16" s="11" customFormat="1" ht="15.95" customHeight="1">
      <c r="A13" s="42" t="s">
        <v>40</v>
      </c>
      <c r="B13" s="3" t="s">
        <v>10</v>
      </c>
      <c r="C13" s="45" t="s">
        <v>30</v>
      </c>
      <c r="D13" s="46" t="s">
        <v>30</v>
      </c>
      <c r="E13" s="46" t="s">
        <v>30</v>
      </c>
      <c r="F13" s="46" t="s">
        <v>30</v>
      </c>
      <c r="G13" s="46" t="s">
        <v>30</v>
      </c>
      <c r="H13" s="46" t="s">
        <v>30</v>
      </c>
      <c r="I13" s="46" t="s">
        <v>30</v>
      </c>
      <c r="J13" s="46" t="s">
        <v>30</v>
      </c>
      <c r="K13" s="46" t="s">
        <v>30</v>
      </c>
      <c r="L13" s="46">
        <v>463</v>
      </c>
      <c r="M13" s="46" t="s">
        <v>30</v>
      </c>
      <c r="N13" s="46" t="s">
        <v>30</v>
      </c>
      <c r="O13" s="30">
        <f t="shared" si="0"/>
        <v>463</v>
      </c>
      <c r="P13" s="10"/>
    </row>
    <row r="14" spans="1:16" s="11" customFormat="1" ht="17.100000000000001" customHeight="1">
      <c r="A14" s="27" t="s">
        <v>41</v>
      </c>
      <c r="B14" s="2" t="s">
        <v>10</v>
      </c>
      <c r="C14" s="45" t="s">
        <v>30</v>
      </c>
      <c r="D14" s="46" t="s">
        <v>30</v>
      </c>
      <c r="E14" s="46" t="s">
        <v>30</v>
      </c>
      <c r="F14" s="46" t="s">
        <v>30</v>
      </c>
      <c r="G14" s="46" t="s">
        <v>30</v>
      </c>
      <c r="H14" s="46" t="s">
        <v>30</v>
      </c>
      <c r="I14" s="46" t="s">
        <v>30</v>
      </c>
      <c r="J14" s="46" t="s">
        <v>30</v>
      </c>
      <c r="K14" s="46" t="s">
        <v>30</v>
      </c>
      <c r="L14" s="46">
        <v>581</v>
      </c>
      <c r="M14" s="46" t="s">
        <v>30</v>
      </c>
      <c r="N14" s="46" t="s">
        <v>30</v>
      </c>
      <c r="O14" s="30">
        <f t="shared" si="0"/>
        <v>581</v>
      </c>
      <c r="P14" s="10"/>
    </row>
    <row r="15" spans="1:16" s="11" customFormat="1">
      <c r="A15" s="27" t="s">
        <v>42</v>
      </c>
      <c r="B15" s="2" t="s">
        <v>10</v>
      </c>
      <c r="C15" s="45" t="s">
        <v>30</v>
      </c>
      <c r="D15" s="46" t="s">
        <v>30</v>
      </c>
      <c r="E15" s="46" t="s">
        <v>30</v>
      </c>
      <c r="F15" s="46" t="s">
        <v>30</v>
      </c>
      <c r="G15" s="46" t="s">
        <v>30</v>
      </c>
      <c r="H15" s="46" t="s">
        <v>30</v>
      </c>
      <c r="I15" s="46" t="s">
        <v>30</v>
      </c>
      <c r="J15" s="46" t="s">
        <v>30</v>
      </c>
      <c r="K15" s="46" t="s">
        <v>30</v>
      </c>
      <c r="L15" s="46">
        <v>6381</v>
      </c>
      <c r="M15" s="46" t="s">
        <v>30</v>
      </c>
      <c r="N15" s="46" t="s">
        <v>30</v>
      </c>
      <c r="O15" s="30">
        <f t="shared" si="0"/>
        <v>6381</v>
      </c>
      <c r="P15" s="10"/>
    </row>
    <row r="16" spans="1:16" s="11" customFormat="1">
      <c r="A16" s="27" t="s">
        <v>43</v>
      </c>
      <c r="B16" s="2" t="s">
        <v>10</v>
      </c>
      <c r="C16" s="45" t="s">
        <v>30</v>
      </c>
      <c r="D16" s="46" t="s">
        <v>30</v>
      </c>
      <c r="E16" s="46" t="s">
        <v>30</v>
      </c>
      <c r="F16" s="46" t="s">
        <v>30</v>
      </c>
      <c r="G16" s="46" t="s">
        <v>30</v>
      </c>
      <c r="H16" s="46" t="s">
        <v>30</v>
      </c>
      <c r="I16" s="46" t="s">
        <v>30</v>
      </c>
      <c r="J16" s="46" t="s">
        <v>30</v>
      </c>
      <c r="K16" s="46" t="s">
        <v>30</v>
      </c>
      <c r="L16" s="46">
        <v>4400</v>
      </c>
      <c r="M16" s="46" t="s">
        <v>30</v>
      </c>
      <c r="N16" s="46" t="s">
        <v>30</v>
      </c>
      <c r="O16" s="30">
        <f t="shared" si="0"/>
        <v>4400</v>
      </c>
      <c r="P16" s="10"/>
    </row>
    <row r="17" spans="1:16" s="11" customFormat="1">
      <c r="A17" s="27" t="s">
        <v>44</v>
      </c>
      <c r="B17" s="2" t="s">
        <v>10</v>
      </c>
      <c r="C17" s="45" t="s">
        <v>30</v>
      </c>
      <c r="D17" s="46" t="s">
        <v>30</v>
      </c>
      <c r="E17" s="46" t="s">
        <v>30</v>
      </c>
      <c r="F17" s="46" t="s">
        <v>30</v>
      </c>
      <c r="G17" s="46" t="s">
        <v>30</v>
      </c>
      <c r="H17" s="46" t="s">
        <v>30</v>
      </c>
      <c r="I17" s="46" t="s">
        <v>30</v>
      </c>
      <c r="J17" s="46" t="s">
        <v>30</v>
      </c>
      <c r="K17" s="46" t="s">
        <v>30</v>
      </c>
      <c r="L17" s="46">
        <v>3880</v>
      </c>
      <c r="M17" s="46" t="s">
        <v>30</v>
      </c>
      <c r="N17" s="46" t="s">
        <v>30</v>
      </c>
      <c r="O17" s="30">
        <f t="shared" si="0"/>
        <v>3880</v>
      </c>
      <c r="P17" s="10"/>
    </row>
    <row r="18" spans="1:16" s="11" customFormat="1">
      <c r="A18" s="27" t="s">
        <v>45</v>
      </c>
      <c r="B18" s="2" t="s">
        <v>10</v>
      </c>
      <c r="C18" s="45" t="s">
        <v>30</v>
      </c>
      <c r="D18" s="46" t="s">
        <v>30</v>
      </c>
      <c r="E18" s="46" t="s">
        <v>30</v>
      </c>
      <c r="F18" s="46" t="s">
        <v>30</v>
      </c>
      <c r="G18" s="46" t="s">
        <v>30</v>
      </c>
      <c r="H18" s="46" t="s">
        <v>30</v>
      </c>
      <c r="I18" s="46" t="s">
        <v>30</v>
      </c>
      <c r="J18" s="46" t="s">
        <v>30</v>
      </c>
      <c r="K18" s="46" t="s">
        <v>30</v>
      </c>
      <c r="L18" s="46">
        <v>717.5</v>
      </c>
      <c r="M18" s="46" t="s">
        <v>30</v>
      </c>
      <c r="N18" s="46" t="s">
        <v>30</v>
      </c>
      <c r="O18" s="30">
        <f t="shared" si="0"/>
        <v>717.5</v>
      </c>
      <c r="P18" s="10"/>
    </row>
    <row r="19" spans="1:16" s="11" customFormat="1">
      <c r="A19" s="27" t="s">
        <v>46</v>
      </c>
      <c r="B19" s="2" t="s">
        <v>10</v>
      </c>
      <c r="C19" s="45" t="s">
        <v>30</v>
      </c>
      <c r="D19" s="46" t="s">
        <v>30</v>
      </c>
      <c r="E19" s="46" t="s">
        <v>30</v>
      </c>
      <c r="F19" s="46" t="s">
        <v>30</v>
      </c>
      <c r="G19" s="46" t="s">
        <v>30</v>
      </c>
      <c r="H19" s="46" t="s">
        <v>30</v>
      </c>
      <c r="I19" s="46" t="s">
        <v>30</v>
      </c>
      <c r="J19" s="46" t="s">
        <v>30</v>
      </c>
      <c r="K19" s="46" t="s">
        <v>30</v>
      </c>
      <c r="L19" s="46">
        <v>1940</v>
      </c>
      <c r="M19" s="46" t="s">
        <v>30</v>
      </c>
      <c r="N19" s="46" t="s">
        <v>30</v>
      </c>
      <c r="O19" s="30">
        <f t="shared" si="0"/>
        <v>1940</v>
      </c>
      <c r="P19" s="10"/>
    </row>
    <row r="20" spans="1:16" s="11" customFormat="1">
      <c r="A20" s="27" t="s">
        <v>47</v>
      </c>
      <c r="B20" s="2" t="s">
        <v>10</v>
      </c>
      <c r="C20" s="45" t="s">
        <v>30</v>
      </c>
      <c r="D20" s="46" t="s">
        <v>30</v>
      </c>
      <c r="E20" s="46" t="s">
        <v>30</v>
      </c>
      <c r="F20" s="46" t="s">
        <v>30</v>
      </c>
      <c r="G20" s="46" t="s">
        <v>30</v>
      </c>
      <c r="H20" s="46" t="s">
        <v>30</v>
      </c>
      <c r="I20" s="46" t="s">
        <v>30</v>
      </c>
      <c r="J20" s="46" t="s">
        <v>30</v>
      </c>
      <c r="K20" s="46" t="s">
        <v>30</v>
      </c>
      <c r="L20" s="46">
        <v>161</v>
      </c>
      <c r="M20" s="46" t="s">
        <v>30</v>
      </c>
      <c r="N20" s="46" t="s">
        <v>30</v>
      </c>
      <c r="O20" s="30">
        <f t="shared" si="0"/>
        <v>161</v>
      </c>
      <c r="P20" s="10"/>
    </row>
    <row r="21" spans="1:16" s="11" customFormat="1">
      <c r="A21" s="27" t="s">
        <v>35</v>
      </c>
      <c r="B21" s="2" t="s">
        <v>10</v>
      </c>
      <c r="C21" s="45" t="s">
        <v>30</v>
      </c>
      <c r="D21" s="46" t="s">
        <v>30</v>
      </c>
      <c r="E21" s="46" t="s">
        <v>30</v>
      </c>
      <c r="F21" s="46" t="s">
        <v>30</v>
      </c>
      <c r="G21" s="46" t="s">
        <v>30</v>
      </c>
      <c r="H21" s="46" t="s">
        <v>30</v>
      </c>
      <c r="I21" s="46" t="s">
        <v>30</v>
      </c>
      <c r="J21" s="46" t="s">
        <v>30</v>
      </c>
      <c r="K21" s="46" t="s">
        <v>30</v>
      </c>
      <c r="L21" s="46">
        <v>69</v>
      </c>
      <c r="M21" s="46" t="s">
        <v>30</v>
      </c>
      <c r="N21" s="46" t="s">
        <v>30</v>
      </c>
      <c r="O21" s="30">
        <f t="shared" si="0"/>
        <v>69</v>
      </c>
      <c r="P21" s="10"/>
    </row>
    <row r="22" spans="1:16" s="11" customFormat="1">
      <c r="A22" s="27" t="s">
        <v>48</v>
      </c>
      <c r="B22" s="2" t="s">
        <v>10</v>
      </c>
      <c r="C22" s="45" t="s">
        <v>30</v>
      </c>
      <c r="D22" s="46" t="s">
        <v>30</v>
      </c>
      <c r="E22" s="46" t="s">
        <v>30</v>
      </c>
      <c r="F22" s="46" t="s">
        <v>30</v>
      </c>
      <c r="G22" s="46" t="s">
        <v>30</v>
      </c>
      <c r="H22" s="46" t="s">
        <v>30</v>
      </c>
      <c r="I22" s="46" t="s">
        <v>30</v>
      </c>
      <c r="J22" s="46" t="s">
        <v>30</v>
      </c>
      <c r="K22" s="46">
        <v>1200</v>
      </c>
      <c r="L22" s="46" t="s">
        <v>30</v>
      </c>
      <c r="M22" s="46" t="s">
        <v>30</v>
      </c>
      <c r="N22" s="46" t="s">
        <v>30</v>
      </c>
      <c r="O22" s="30">
        <f t="shared" si="0"/>
        <v>1200</v>
      </c>
      <c r="P22" s="10"/>
    </row>
    <row r="23" spans="1:16" s="11" customFormat="1">
      <c r="A23" s="47" t="s">
        <v>49</v>
      </c>
      <c r="B23" s="48" t="s">
        <v>10</v>
      </c>
      <c r="C23" s="49" t="s">
        <v>30</v>
      </c>
      <c r="D23" s="50" t="s">
        <v>30</v>
      </c>
      <c r="E23" s="50" t="s">
        <v>30</v>
      </c>
      <c r="F23" s="50" t="s">
        <v>30</v>
      </c>
      <c r="G23" s="50" t="s">
        <v>30</v>
      </c>
      <c r="H23" s="50" t="s">
        <v>30</v>
      </c>
      <c r="I23" s="50" t="s">
        <v>30</v>
      </c>
      <c r="J23" s="50" t="s">
        <v>30</v>
      </c>
      <c r="K23" s="50" t="s">
        <v>30</v>
      </c>
      <c r="L23" s="50" t="s">
        <v>30</v>
      </c>
      <c r="M23" s="50">
        <v>2545</v>
      </c>
      <c r="N23" s="50" t="s">
        <v>30</v>
      </c>
      <c r="O23" s="51">
        <f t="shared" si="0"/>
        <v>2545</v>
      </c>
      <c r="P23" s="10"/>
    </row>
    <row r="24" spans="1:16" s="11" customFormat="1">
      <c r="A24" s="47" t="s">
        <v>49</v>
      </c>
      <c r="B24" s="48" t="s">
        <v>9</v>
      </c>
      <c r="C24" s="49"/>
      <c r="D24" s="50"/>
      <c r="E24" s="50"/>
      <c r="F24" s="50"/>
      <c r="G24" s="50"/>
      <c r="H24" s="50"/>
      <c r="I24" s="50"/>
      <c r="J24" s="50"/>
      <c r="K24" s="50"/>
      <c r="L24" s="50"/>
      <c r="M24" s="50">
        <v>8000</v>
      </c>
      <c r="N24" s="50"/>
      <c r="O24" s="51">
        <f t="shared" si="0"/>
        <v>8000</v>
      </c>
      <c r="P24" s="10"/>
    </row>
    <row r="25" spans="1:16" s="11" customFormat="1">
      <c r="A25" s="27" t="s">
        <v>50</v>
      </c>
      <c r="B25" s="2" t="s">
        <v>10</v>
      </c>
      <c r="C25" s="45" t="s">
        <v>30</v>
      </c>
      <c r="D25" s="46" t="s">
        <v>30</v>
      </c>
      <c r="E25" s="46" t="s">
        <v>30</v>
      </c>
      <c r="F25" s="46" t="s">
        <v>30</v>
      </c>
      <c r="G25" s="46" t="s">
        <v>30</v>
      </c>
      <c r="H25" s="46" t="s">
        <v>30</v>
      </c>
      <c r="I25" s="46" t="s">
        <v>30</v>
      </c>
      <c r="J25" s="46" t="s">
        <v>30</v>
      </c>
      <c r="K25" s="46" t="s">
        <v>30</v>
      </c>
      <c r="L25" s="46" t="s">
        <v>30</v>
      </c>
      <c r="M25" s="46">
        <v>277.39</v>
      </c>
      <c r="N25" s="46" t="s">
        <v>30</v>
      </c>
      <c r="O25" s="30">
        <f t="shared" si="0"/>
        <v>277.39</v>
      </c>
      <c r="P25" s="10"/>
    </row>
    <row r="26" spans="1:16" s="11" customFormat="1">
      <c r="A26" s="27" t="s">
        <v>51</v>
      </c>
      <c r="B26" s="2" t="s">
        <v>10</v>
      </c>
      <c r="C26" s="45" t="s">
        <v>30</v>
      </c>
      <c r="D26" s="46" t="s">
        <v>30</v>
      </c>
      <c r="E26" s="46" t="s">
        <v>30</v>
      </c>
      <c r="F26" s="46" t="s">
        <v>30</v>
      </c>
      <c r="G26" s="46" t="s">
        <v>30</v>
      </c>
      <c r="H26" s="46" t="s">
        <v>30</v>
      </c>
      <c r="I26" s="46" t="s">
        <v>30</v>
      </c>
      <c r="J26" s="46" t="s">
        <v>30</v>
      </c>
      <c r="K26" s="46" t="s">
        <v>30</v>
      </c>
      <c r="L26" s="46" t="s">
        <v>30</v>
      </c>
      <c r="M26" s="46">
        <v>137</v>
      </c>
      <c r="N26" s="46" t="s">
        <v>30</v>
      </c>
      <c r="O26" s="30">
        <f t="shared" si="0"/>
        <v>137</v>
      </c>
      <c r="P26" s="10"/>
    </row>
    <row r="27" spans="1:16" s="11" customFormat="1">
      <c r="A27" s="27" t="s">
        <v>52</v>
      </c>
      <c r="B27" s="2" t="s">
        <v>10</v>
      </c>
      <c r="C27" s="45" t="s">
        <v>30</v>
      </c>
      <c r="D27" s="46" t="s">
        <v>30</v>
      </c>
      <c r="E27" s="46" t="s">
        <v>30</v>
      </c>
      <c r="F27" s="46" t="s">
        <v>30</v>
      </c>
      <c r="G27" s="46" t="s">
        <v>30</v>
      </c>
      <c r="H27" s="46" t="s">
        <v>30</v>
      </c>
      <c r="I27" s="46" t="s">
        <v>30</v>
      </c>
      <c r="J27" s="46" t="s">
        <v>30</v>
      </c>
      <c r="K27" s="46" t="s">
        <v>30</v>
      </c>
      <c r="L27" s="46" t="s">
        <v>30</v>
      </c>
      <c r="M27" s="46">
        <v>3572</v>
      </c>
      <c r="N27" s="46" t="s">
        <v>30</v>
      </c>
      <c r="O27" s="30">
        <f t="shared" si="0"/>
        <v>3572</v>
      </c>
      <c r="P27" s="10"/>
    </row>
    <row r="28" spans="1:16" s="11" customFormat="1">
      <c r="A28" s="27" t="s">
        <v>53</v>
      </c>
      <c r="B28" s="2" t="s">
        <v>10</v>
      </c>
      <c r="C28" s="45" t="s">
        <v>30</v>
      </c>
      <c r="D28" s="46" t="s">
        <v>30</v>
      </c>
      <c r="E28" s="46" t="s">
        <v>30</v>
      </c>
      <c r="F28" s="46" t="s">
        <v>30</v>
      </c>
      <c r="G28" s="46" t="s">
        <v>30</v>
      </c>
      <c r="H28" s="46" t="s">
        <v>30</v>
      </c>
      <c r="I28" s="46" t="s">
        <v>30</v>
      </c>
      <c r="J28" s="46" t="s">
        <v>30</v>
      </c>
      <c r="K28" s="46" t="s">
        <v>30</v>
      </c>
      <c r="L28" s="46" t="s">
        <v>30</v>
      </c>
      <c r="M28" s="46">
        <v>1720</v>
      </c>
      <c r="N28" s="46" t="s">
        <v>30</v>
      </c>
      <c r="O28" s="30">
        <f t="shared" si="0"/>
        <v>1720</v>
      </c>
      <c r="P28" s="10"/>
    </row>
    <row r="29" spans="1:16" s="11" customFormat="1">
      <c r="A29" s="27" t="s">
        <v>54</v>
      </c>
      <c r="B29" s="2" t="s">
        <v>9</v>
      </c>
      <c r="C29" s="45" t="s">
        <v>30</v>
      </c>
      <c r="D29" s="46" t="s">
        <v>30</v>
      </c>
      <c r="E29" s="46" t="s">
        <v>30</v>
      </c>
      <c r="F29" s="46" t="s">
        <v>30</v>
      </c>
      <c r="G29" s="46" t="s">
        <v>30</v>
      </c>
      <c r="H29" s="46" t="s">
        <v>30</v>
      </c>
      <c r="I29" s="46" t="s">
        <v>30</v>
      </c>
      <c r="J29" s="46" t="s">
        <v>30</v>
      </c>
      <c r="K29" s="46" t="s">
        <v>30</v>
      </c>
      <c r="L29" s="46" t="s">
        <v>30</v>
      </c>
      <c r="M29" s="46">
        <v>4000</v>
      </c>
      <c r="N29" s="46" t="s">
        <v>30</v>
      </c>
      <c r="O29" s="30">
        <f t="shared" si="0"/>
        <v>4000</v>
      </c>
      <c r="P29" s="10"/>
    </row>
    <row r="30" spans="1:16" s="11" customFormat="1">
      <c r="A30" s="27" t="s">
        <v>35</v>
      </c>
      <c r="B30" s="2" t="s">
        <v>10</v>
      </c>
      <c r="C30" s="45" t="s">
        <v>30</v>
      </c>
      <c r="D30" s="46" t="s">
        <v>30</v>
      </c>
      <c r="E30" s="46" t="s">
        <v>30</v>
      </c>
      <c r="F30" s="46" t="s">
        <v>30</v>
      </c>
      <c r="G30" s="46" t="s">
        <v>30</v>
      </c>
      <c r="H30" s="46" t="s">
        <v>30</v>
      </c>
      <c r="I30" s="46" t="s">
        <v>30</v>
      </c>
      <c r="J30" s="46" t="s">
        <v>30</v>
      </c>
      <c r="K30" s="46" t="s">
        <v>30</v>
      </c>
      <c r="L30" s="46" t="s">
        <v>30</v>
      </c>
      <c r="M30" s="46">
        <v>429</v>
      </c>
      <c r="N30" s="46" t="s">
        <v>30</v>
      </c>
      <c r="O30" s="30">
        <f t="shared" si="0"/>
        <v>429</v>
      </c>
      <c r="P30" s="10"/>
    </row>
    <row r="31" spans="1:16" s="11" customFormat="1">
      <c r="A31" s="27" t="s">
        <v>55</v>
      </c>
      <c r="B31" s="2" t="s">
        <v>10</v>
      </c>
      <c r="C31" s="45" t="s">
        <v>30</v>
      </c>
      <c r="D31" s="46" t="s">
        <v>30</v>
      </c>
      <c r="E31" s="46" t="s">
        <v>30</v>
      </c>
      <c r="F31" s="46" t="s">
        <v>30</v>
      </c>
      <c r="G31" s="46" t="s">
        <v>30</v>
      </c>
      <c r="H31" s="46" t="s">
        <v>30</v>
      </c>
      <c r="I31" s="46" t="s">
        <v>30</v>
      </c>
      <c r="J31" s="46">
        <v>450</v>
      </c>
      <c r="K31" s="46" t="s">
        <v>30</v>
      </c>
      <c r="L31" s="46" t="s">
        <v>30</v>
      </c>
      <c r="M31" s="46" t="s">
        <v>30</v>
      </c>
      <c r="N31" s="46" t="s">
        <v>30</v>
      </c>
      <c r="O31" s="30">
        <f t="shared" si="0"/>
        <v>450</v>
      </c>
      <c r="P31" s="10"/>
    </row>
    <row r="32" spans="1:16" s="11" customFormat="1">
      <c r="A32" s="2" t="s">
        <v>35</v>
      </c>
      <c r="B32" s="2" t="s">
        <v>10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>
        <v>465</v>
      </c>
      <c r="O32" s="30">
        <f t="shared" si="0"/>
        <v>465</v>
      </c>
      <c r="P32" s="10"/>
    </row>
    <row r="33" spans="1:16" s="11" customFormat="1">
      <c r="A33" s="2" t="s">
        <v>56</v>
      </c>
      <c r="B33" s="2" t="s">
        <v>9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>
        <v>2640</v>
      </c>
      <c r="O33" s="30">
        <f t="shared" si="0"/>
        <v>2640</v>
      </c>
      <c r="P33" s="10"/>
    </row>
    <row r="34" spans="1:16" s="11" customFormat="1">
      <c r="A34" s="2" t="s">
        <v>57</v>
      </c>
      <c r="B34" s="2" t="s">
        <v>9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>
        <v>1410</v>
      </c>
      <c r="O34" s="30">
        <f t="shared" si="0"/>
        <v>1410</v>
      </c>
      <c r="P34" s="10"/>
    </row>
    <row r="35" spans="1:16" s="11" customFormat="1">
      <c r="A35" s="2" t="s">
        <v>58</v>
      </c>
      <c r="B35" s="2" t="s">
        <v>9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>
        <v>2160</v>
      </c>
      <c r="O35" s="30">
        <f t="shared" si="0"/>
        <v>2160</v>
      </c>
      <c r="P35" s="10"/>
    </row>
    <row r="36" spans="1:16" s="11" customFormat="1">
      <c r="A36" s="2" t="s">
        <v>59</v>
      </c>
      <c r="B36" s="2" t="s">
        <v>9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>
        <v>235</v>
      </c>
      <c r="O36" s="30">
        <f t="shared" si="0"/>
        <v>235</v>
      </c>
      <c r="P36" s="10"/>
    </row>
    <row r="37" spans="1:16" s="11" customFormat="1">
      <c r="A37" s="2" t="s">
        <v>60</v>
      </c>
      <c r="B37" s="2" t="s">
        <v>9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>
        <v>173</v>
      </c>
      <c r="O37" s="30">
        <f t="shared" si="0"/>
        <v>173</v>
      </c>
      <c r="P37" s="10"/>
    </row>
    <row r="38" spans="1:16" s="11" customFormat="1">
      <c r="A38" s="2" t="s">
        <v>61</v>
      </c>
      <c r="B38" s="2" t="s">
        <v>9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>
        <v>148</v>
      </c>
      <c r="O38" s="30">
        <f t="shared" si="0"/>
        <v>148</v>
      </c>
      <c r="P38" s="10"/>
    </row>
    <row r="39" spans="1:16" s="11" customFormat="1" ht="3.95" customHeight="1">
      <c r="A39" s="1"/>
      <c r="B39" s="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2"/>
      <c r="P39" s="12"/>
    </row>
    <row r="40" spans="1:16" s="14" customFormat="1" ht="20.100000000000001" customHeight="1">
      <c r="A40" s="82" t="s">
        <v>62</v>
      </c>
      <c r="B40" s="83"/>
      <c r="C40" s="33">
        <f t="shared" ref="C40:O40" si="1">SUM(C2:C39)</f>
        <v>27000</v>
      </c>
      <c r="D40" s="33">
        <f t="shared" si="1"/>
        <v>0</v>
      </c>
      <c r="E40" s="33">
        <f t="shared" si="1"/>
        <v>0</v>
      </c>
      <c r="F40" s="33">
        <f t="shared" si="1"/>
        <v>0</v>
      </c>
      <c r="G40" s="33">
        <f t="shared" si="1"/>
        <v>0</v>
      </c>
      <c r="H40" s="33">
        <f t="shared" si="1"/>
        <v>0</v>
      </c>
      <c r="I40" s="33">
        <f t="shared" si="1"/>
        <v>0</v>
      </c>
      <c r="J40" s="33">
        <f t="shared" si="1"/>
        <v>3074</v>
      </c>
      <c r="K40" s="33">
        <f t="shared" si="1"/>
        <v>6410</v>
      </c>
      <c r="L40" s="33">
        <f t="shared" si="1"/>
        <v>20298.5</v>
      </c>
      <c r="M40" s="33">
        <f t="shared" si="1"/>
        <v>20680.39</v>
      </c>
      <c r="N40" s="33">
        <f t="shared" si="1"/>
        <v>7231</v>
      </c>
      <c r="O40" s="33">
        <f t="shared" si="1"/>
        <v>84693.89</v>
      </c>
      <c r="P40" s="13"/>
    </row>
    <row r="41" spans="1:16" s="14" customFormat="1" ht="3.95" customHeight="1">
      <c r="A41" s="4"/>
      <c r="B41" s="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5"/>
      <c r="P41" s="15"/>
    </row>
    <row r="42" spans="1:16" s="14" customFormat="1" ht="20.100000000000001" customHeight="1" thickBot="1">
      <c r="A42" s="16" t="s">
        <v>63</v>
      </c>
      <c r="B42" s="16" t="s">
        <v>64</v>
      </c>
      <c r="C42" s="36">
        <f t="shared" ref="C42:O42" si="2">SUMIF($B1:$B38,"=Cruz",C1:C38)</f>
        <v>12000</v>
      </c>
      <c r="D42" s="36">
        <f t="shared" si="2"/>
        <v>0</v>
      </c>
      <c r="E42" s="36">
        <f t="shared" si="2"/>
        <v>0</v>
      </c>
      <c r="F42" s="36">
        <f t="shared" si="2"/>
        <v>0</v>
      </c>
      <c r="G42" s="36">
        <f t="shared" si="2"/>
        <v>0</v>
      </c>
      <c r="H42" s="36">
        <f t="shared" si="2"/>
        <v>0</v>
      </c>
      <c r="I42" s="36">
        <f t="shared" si="2"/>
        <v>0</v>
      </c>
      <c r="J42" s="36">
        <f t="shared" si="2"/>
        <v>3074</v>
      </c>
      <c r="K42" s="36">
        <f t="shared" si="2"/>
        <v>4280</v>
      </c>
      <c r="L42" s="36">
        <f t="shared" si="2"/>
        <v>20298.5</v>
      </c>
      <c r="M42" s="36">
        <f t="shared" si="2"/>
        <v>8680.39</v>
      </c>
      <c r="N42" s="36">
        <f t="shared" si="2"/>
        <v>465</v>
      </c>
      <c r="O42" s="36">
        <f t="shared" si="2"/>
        <v>48797.89</v>
      </c>
      <c r="P42" s="17"/>
    </row>
    <row r="43" spans="1:16" s="14" customFormat="1" ht="3.95" customHeight="1" thickBot="1">
      <c r="A43" s="4"/>
      <c r="B43" s="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7"/>
      <c r="P43" s="15"/>
    </row>
    <row r="44" spans="1:16" s="14" customFormat="1" ht="20.100000000000001" customHeight="1" thickBot="1">
      <c r="A44" s="18" t="s">
        <v>63</v>
      </c>
      <c r="B44" s="18" t="s">
        <v>9</v>
      </c>
      <c r="C44" s="38">
        <f t="shared" ref="C44:O44" si="3">SUMIF($B1:$B38,"=Douglas",C1:C38)</f>
        <v>15000</v>
      </c>
      <c r="D44" s="38">
        <f t="shared" si="3"/>
        <v>0</v>
      </c>
      <c r="E44" s="38">
        <f t="shared" si="3"/>
        <v>0</v>
      </c>
      <c r="F44" s="38">
        <f t="shared" si="3"/>
        <v>0</v>
      </c>
      <c r="G44" s="38">
        <f t="shared" si="3"/>
        <v>0</v>
      </c>
      <c r="H44" s="38">
        <f t="shared" si="3"/>
        <v>0</v>
      </c>
      <c r="I44" s="38">
        <f t="shared" si="3"/>
        <v>0</v>
      </c>
      <c r="J44" s="38">
        <f t="shared" si="3"/>
        <v>0</v>
      </c>
      <c r="K44" s="38">
        <f t="shared" si="3"/>
        <v>2130</v>
      </c>
      <c r="L44" s="38">
        <f t="shared" si="3"/>
        <v>0</v>
      </c>
      <c r="M44" s="38">
        <f t="shared" si="3"/>
        <v>12000</v>
      </c>
      <c r="N44" s="38">
        <f t="shared" si="3"/>
        <v>6766</v>
      </c>
      <c r="O44" s="38">
        <f t="shared" si="3"/>
        <v>35896</v>
      </c>
      <c r="P44" s="17"/>
    </row>
    <row r="45" spans="1:16" s="23" customFormat="1" ht="5.0999999999999996" customHeight="1">
      <c r="A45" s="19"/>
      <c r="B45" s="19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1"/>
      <c r="P45" s="22"/>
    </row>
    <row r="46" spans="1:16">
      <c r="O46" s="41"/>
    </row>
    <row r="47" spans="1:16">
      <c r="A47" t="s">
        <v>65</v>
      </c>
      <c r="B47" s="39" t="s">
        <v>66</v>
      </c>
      <c r="C47" s="39">
        <v>15000</v>
      </c>
      <c r="O47" s="41"/>
    </row>
    <row r="48" spans="1:16">
      <c r="A48" t="s">
        <v>67</v>
      </c>
      <c r="N48" s="41"/>
    </row>
  </sheetData>
  <customSheetViews>
    <customSheetView guid="{DB3EC1DA-FC08-4947-B6EA-13BE4D518663}" scale="60" showPageBreaks="1" showGridLines="0" fitToPage="1" printArea="1" view="pageBreakPreview">
      <pane ySplit="1" topLeftCell="A10" activePane="bottomLeft" state="frozen"/>
      <selection pane="bottomLeft" sqref="A1:O53"/>
      <pageMargins left="0" right="0" top="0" bottom="0" header="0" footer="0"/>
      <pageSetup paperSize="9" scale="60" orientation="landscape" r:id="rId1"/>
      <headerFooter scaleWithDoc="0"/>
    </customSheetView>
  </customSheetViews>
  <mergeCells count="1">
    <mergeCell ref="A40:B40"/>
  </mergeCells>
  <pageMargins left="0.51181102362204722" right="0.51181102362204722" top="0.78740157480314965" bottom="0.78740157480314965" header="0.31496062992125984" footer="0.31496062992125984"/>
  <pageSetup paperSize="9" scale="71" orientation="landscape" r:id="rId2"/>
  <headerFooter scaleWithDoc="0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Douglas" xr:uid="{42867091-C539-BB40-8C66-CEE63A8240F6}">
          <x14:formula1>
            <xm:f>Nomes!$A$2:$A$3</xm:f>
          </x14:formula1>
          <xm:sqref>B2:B38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7015-B841-4D3F-8CFD-2D26B4AF3D32}">
  <sheetPr>
    <outlinePr showOutlineSymbols="0"/>
    <pageSetUpPr fitToPage="1"/>
  </sheetPr>
  <dimension ref="A1:P66"/>
  <sheetViews>
    <sheetView showGridLines="0" showZeros="0" showOutlineSymbols="0" defaultGridColor="0" view="pageBreakPreview" colorId="9" zoomScaleNormal="60" zoomScaleSheetLayoutView="100" workbookViewId="0">
      <pane ySplit="1" topLeftCell="G44" activePane="bottomLeft" state="frozen"/>
      <selection pane="bottomLeft" activeCell="A13" sqref="A13"/>
    </sheetView>
  </sheetViews>
  <sheetFormatPr defaultColWidth="8.875" defaultRowHeight="15.6"/>
  <cols>
    <col min="1" max="1" width="42.875" customWidth="1"/>
    <col min="2" max="2" width="18.5" customWidth="1"/>
    <col min="3" max="4" width="13.875" bestFit="1" customWidth="1"/>
    <col min="5" max="5" width="12.625" bestFit="1" customWidth="1"/>
    <col min="6" max="6" width="11.875" bestFit="1" customWidth="1"/>
    <col min="7" max="8" width="12.625" bestFit="1" customWidth="1"/>
    <col min="9" max="9" width="10.375" bestFit="1" customWidth="1"/>
    <col min="10" max="10" width="13.875" style="24" bestFit="1" customWidth="1"/>
    <col min="11" max="11" width="12.625" style="24" bestFit="1" customWidth="1"/>
    <col min="12" max="13" width="13.875" style="24" bestFit="1" customWidth="1"/>
    <col min="14" max="14" width="13.5" style="24" bestFit="1" customWidth="1"/>
    <col min="15" max="15" width="19.625" style="24" bestFit="1" customWidth="1"/>
    <col min="16" max="16" width="0.125" customWidth="1"/>
    <col min="17" max="16384" width="8.875" style="25"/>
  </cols>
  <sheetData>
    <row r="1" spans="1:16" s="9" customFormat="1" ht="20.100000000000001" customHeight="1">
      <c r="A1" s="5" t="s">
        <v>14</v>
      </c>
      <c r="B1" s="5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7" t="s">
        <v>28</v>
      </c>
      <c r="P1" s="8"/>
    </row>
    <row r="2" spans="1:16" s="11" customFormat="1">
      <c r="A2" s="26" t="s">
        <v>68</v>
      </c>
      <c r="B2" s="2" t="s">
        <v>10</v>
      </c>
      <c r="C2" s="28">
        <v>142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9"/>
      <c r="O2" s="30">
        <f>SUM(C2:N2)</f>
        <v>142</v>
      </c>
      <c r="P2" s="10"/>
    </row>
    <row r="3" spans="1:16" s="11" customFormat="1">
      <c r="A3" s="26" t="s">
        <v>69</v>
      </c>
      <c r="B3" s="2" t="s">
        <v>10</v>
      </c>
      <c r="C3" s="28">
        <v>684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  <c r="O3" s="30">
        <f t="shared" ref="O3:O55" si="0">SUM(C3:N3)</f>
        <v>684</v>
      </c>
      <c r="P3" s="10"/>
    </row>
    <row r="4" spans="1:16" s="11" customFormat="1">
      <c r="A4" s="26" t="s">
        <v>68</v>
      </c>
      <c r="B4" s="2" t="s">
        <v>9</v>
      </c>
      <c r="C4" s="43">
        <v>503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30">
        <f t="shared" si="0"/>
        <v>503</v>
      </c>
      <c r="P4" s="10"/>
    </row>
    <row r="5" spans="1:16" s="11" customFormat="1">
      <c r="A5" s="27" t="s">
        <v>68</v>
      </c>
      <c r="B5" s="2" t="s">
        <v>9</v>
      </c>
      <c r="C5" s="45">
        <v>1145.69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30">
        <f t="shared" si="0"/>
        <v>1145.69</v>
      </c>
      <c r="P5" s="10"/>
    </row>
    <row r="6" spans="1:16" s="11" customFormat="1">
      <c r="A6" s="27" t="s">
        <v>70</v>
      </c>
      <c r="B6" s="2" t="s">
        <v>9</v>
      </c>
      <c r="C6" s="45">
        <v>5200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30">
        <f t="shared" si="0"/>
        <v>5200</v>
      </c>
      <c r="P6" s="10"/>
    </row>
    <row r="7" spans="1:16" s="11" customFormat="1" ht="15.95" customHeight="1">
      <c r="A7" s="42" t="s">
        <v>71</v>
      </c>
      <c r="B7" s="3" t="s">
        <v>9</v>
      </c>
      <c r="C7" s="45">
        <v>546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30">
        <f t="shared" si="0"/>
        <v>546</v>
      </c>
      <c r="P7" s="10"/>
    </row>
    <row r="8" spans="1:16" s="11" customFormat="1" ht="15.95" customHeight="1">
      <c r="A8" s="42" t="s">
        <v>72</v>
      </c>
      <c r="B8" s="3" t="s">
        <v>9</v>
      </c>
      <c r="C8" s="45">
        <v>3500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30">
        <f t="shared" si="0"/>
        <v>3500</v>
      </c>
      <c r="P8" s="10"/>
    </row>
    <row r="9" spans="1:16" s="11" customFormat="1" ht="15.95" customHeight="1">
      <c r="A9" s="42" t="s">
        <v>73</v>
      </c>
      <c r="B9" s="3" t="s">
        <v>9</v>
      </c>
      <c r="C9" s="45">
        <v>2500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30">
        <f t="shared" si="0"/>
        <v>2500</v>
      </c>
      <c r="P9" s="10"/>
    </row>
    <row r="10" spans="1:16" s="11" customFormat="1" ht="15.95" customHeight="1">
      <c r="A10" s="42" t="s">
        <v>68</v>
      </c>
      <c r="B10" s="3" t="s">
        <v>10</v>
      </c>
      <c r="C10" s="45">
        <v>192.5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30">
        <f t="shared" si="0"/>
        <v>192.5</v>
      </c>
      <c r="P10" s="10"/>
    </row>
    <row r="11" spans="1:16" s="11" customFormat="1" ht="15.95" customHeight="1">
      <c r="A11" s="42" t="s">
        <v>74</v>
      </c>
      <c r="B11" s="3" t="s">
        <v>9</v>
      </c>
      <c r="C11" s="45"/>
      <c r="D11" s="46">
        <v>6900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30">
        <f t="shared" si="0"/>
        <v>6900</v>
      </c>
      <c r="P11" s="10"/>
    </row>
    <row r="12" spans="1:16" s="11" customFormat="1" ht="15.95" customHeight="1">
      <c r="A12" s="42" t="s">
        <v>75</v>
      </c>
      <c r="B12" s="3" t="s">
        <v>10</v>
      </c>
      <c r="C12" s="45"/>
      <c r="D12" s="46">
        <v>1020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30">
        <f t="shared" si="0"/>
        <v>1020</v>
      </c>
      <c r="P12" s="10"/>
    </row>
    <row r="13" spans="1:16" s="11" customFormat="1" ht="15.95" customHeight="1">
      <c r="A13" s="42" t="s">
        <v>76</v>
      </c>
      <c r="B13" s="3" t="s">
        <v>10</v>
      </c>
      <c r="C13" s="45"/>
      <c r="D13" s="46">
        <v>3800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30">
        <f t="shared" si="0"/>
        <v>3800</v>
      </c>
      <c r="P13" s="10"/>
    </row>
    <row r="14" spans="1:16" s="11" customFormat="1" ht="17.100000000000001" customHeight="1">
      <c r="A14" s="27" t="s">
        <v>77</v>
      </c>
      <c r="B14" s="2" t="s">
        <v>10</v>
      </c>
      <c r="C14" s="45"/>
      <c r="D14" s="46">
        <v>772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30">
        <f t="shared" si="0"/>
        <v>772</v>
      </c>
      <c r="P14" s="10"/>
    </row>
    <row r="15" spans="1:16" s="11" customFormat="1">
      <c r="A15" s="27" t="s">
        <v>78</v>
      </c>
      <c r="B15" s="2" t="s">
        <v>10</v>
      </c>
      <c r="C15" s="45"/>
      <c r="D15" s="46">
        <v>230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30">
        <f t="shared" si="0"/>
        <v>230</v>
      </c>
      <c r="P15" s="10"/>
    </row>
    <row r="16" spans="1:16" s="11" customFormat="1">
      <c r="A16" s="27" t="s">
        <v>78</v>
      </c>
      <c r="B16" s="2" t="s">
        <v>9</v>
      </c>
      <c r="C16" s="45"/>
      <c r="D16" s="46"/>
      <c r="E16" s="46">
        <v>1270</v>
      </c>
      <c r="F16" s="46"/>
      <c r="G16" s="46"/>
      <c r="H16" s="46"/>
      <c r="I16" s="46"/>
      <c r="J16" s="46"/>
      <c r="K16" s="46"/>
      <c r="L16" s="46"/>
      <c r="M16" s="46"/>
      <c r="N16" s="46"/>
      <c r="O16" s="30">
        <f t="shared" si="0"/>
        <v>1270</v>
      </c>
      <c r="P16" s="10"/>
    </row>
    <row r="17" spans="1:16" s="11" customFormat="1">
      <c r="A17" s="27" t="s">
        <v>79</v>
      </c>
      <c r="B17" s="2" t="s">
        <v>9</v>
      </c>
      <c r="C17" s="45"/>
      <c r="D17" s="46"/>
      <c r="E17" s="46">
        <v>552</v>
      </c>
      <c r="F17" s="46"/>
      <c r="G17" s="46"/>
      <c r="H17" s="46"/>
      <c r="I17" s="46"/>
      <c r="J17" s="46"/>
      <c r="K17" s="46"/>
      <c r="L17" s="46"/>
      <c r="M17" s="46"/>
      <c r="N17" s="46"/>
      <c r="O17" s="30">
        <f t="shared" si="0"/>
        <v>552</v>
      </c>
      <c r="P17" s="10"/>
    </row>
    <row r="18" spans="1:16" s="11" customFormat="1">
      <c r="A18" s="27" t="s">
        <v>80</v>
      </c>
      <c r="B18" s="2" t="s">
        <v>9</v>
      </c>
      <c r="C18" s="45"/>
      <c r="D18" s="46"/>
      <c r="E18" s="46">
        <v>1744</v>
      </c>
      <c r="F18" s="46"/>
      <c r="G18" s="46"/>
      <c r="H18" s="46"/>
      <c r="I18" s="46"/>
      <c r="J18" s="46"/>
      <c r="K18" s="46"/>
      <c r="L18" s="46"/>
      <c r="M18" s="46"/>
      <c r="N18" s="46"/>
      <c r="O18" s="30">
        <f t="shared" si="0"/>
        <v>1744</v>
      </c>
      <c r="P18" s="10"/>
    </row>
    <row r="19" spans="1:16" s="11" customFormat="1">
      <c r="A19" s="27" t="s">
        <v>81</v>
      </c>
      <c r="B19" s="2" t="s">
        <v>9</v>
      </c>
      <c r="C19" s="45"/>
      <c r="D19" s="46"/>
      <c r="E19" s="46">
        <v>5200</v>
      </c>
      <c r="F19" s="46"/>
      <c r="G19" s="46"/>
      <c r="H19" s="46"/>
      <c r="I19" s="46"/>
      <c r="J19" s="46"/>
      <c r="K19" s="46"/>
      <c r="L19" s="46"/>
      <c r="M19" s="46"/>
      <c r="N19" s="46"/>
      <c r="O19" s="30">
        <f t="shared" si="0"/>
        <v>5200</v>
      </c>
      <c r="P19" s="10"/>
    </row>
    <row r="20" spans="1:16" s="11" customFormat="1">
      <c r="A20" s="27" t="s">
        <v>82</v>
      </c>
      <c r="B20" s="2" t="s">
        <v>10</v>
      </c>
      <c r="C20" s="45"/>
      <c r="D20" s="46"/>
      <c r="E20" s="46"/>
      <c r="F20" s="46">
        <v>475</v>
      </c>
      <c r="G20" s="46"/>
      <c r="H20" s="46"/>
      <c r="I20" s="46"/>
      <c r="J20" s="46"/>
      <c r="K20" s="46"/>
      <c r="L20" s="46"/>
      <c r="M20" s="46"/>
      <c r="N20" s="46"/>
      <c r="O20" s="30">
        <f t="shared" si="0"/>
        <v>475</v>
      </c>
      <c r="P20" s="10"/>
    </row>
    <row r="21" spans="1:16" s="11" customFormat="1">
      <c r="A21" s="27" t="s">
        <v>83</v>
      </c>
      <c r="B21" s="2" t="s">
        <v>10</v>
      </c>
      <c r="C21" s="45"/>
      <c r="D21" s="46"/>
      <c r="E21" s="46"/>
      <c r="F21" s="46"/>
      <c r="G21" s="46">
        <v>460</v>
      </c>
      <c r="H21" s="46"/>
      <c r="I21" s="46"/>
      <c r="J21" s="46"/>
      <c r="K21" s="46"/>
      <c r="L21" s="46"/>
      <c r="M21" s="46"/>
      <c r="N21" s="46"/>
      <c r="O21" s="30">
        <f t="shared" si="0"/>
        <v>460</v>
      </c>
      <c r="P21" s="10"/>
    </row>
    <row r="22" spans="1:16" s="11" customFormat="1">
      <c r="A22" s="27" t="s">
        <v>84</v>
      </c>
      <c r="B22" s="2" t="s">
        <v>10</v>
      </c>
      <c r="C22" s="45"/>
      <c r="D22" s="46"/>
      <c r="E22" s="46"/>
      <c r="F22" s="46"/>
      <c r="G22" s="46">
        <v>480</v>
      </c>
      <c r="H22" s="46"/>
      <c r="I22" s="46"/>
      <c r="J22" s="46"/>
      <c r="K22" s="46"/>
      <c r="L22" s="46"/>
      <c r="M22" s="46"/>
      <c r="N22" s="46"/>
      <c r="O22" s="30">
        <f t="shared" si="0"/>
        <v>480</v>
      </c>
      <c r="P22" s="10"/>
    </row>
    <row r="23" spans="1:16" s="11" customFormat="1">
      <c r="A23" s="27" t="s">
        <v>75</v>
      </c>
      <c r="B23" s="2" t="s">
        <v>10</v>
      </c>
      <c r="C23" s="45"/>
      <c r="D23" s="46"/>
      <c r="E23" s="46"/>
      <c r="F23" s="46"/>
      <c r="G23" s="46">
        <v>385</v>
      </c>
      <c r="H23" s="46"/>
      <c r="I23" s="46"/>
      <c r="J23" s="46"/>
      <c r="K23" s="46"/>
      <c r="L23" s="46"/>
      <c r="M23" s="46"/>
      <c r="N23" s="46"/>
      <c r="O23" s="30">
        <f t="shared" si="0"/>
        <v>385</v>
      </c>
      <c r="P23" s="10"/>
    </row>
    <row r="24" spans="1:16" s="11" customFormat="1">
      <c r="A24" s="27" t="s">
        <v>85</v>
      </c>
      <c r="B24" s="2" t="s">
        <v>10</v>
      </c>
      <c r="C24" s="45"/>
      <c r="D24" s="46"/>
      <c r="E24" s="46"/>
      <c r="F24" s="46"/>
      <c r="G24" s="46"/>
      <c r="H24" s="46">
        <v>170</v>
      </c>
      <c r="I24" s="46"/>
      <c r="J24" s="46"/>
      <c r="K24" s="46"/>
      <c r="L24" s="46"/>
      <c r="M24" s="46"/>
      <c r="N24" s="46"/>
      <c r="O24" s="30">
        <f t="shared" si="0"/>
        <v>170</v>
      </c>
      <c r="P24" s="10"/>
    </row>
    <row r="25" spans="1:16" s="11" customFormat="1">
      <c r="A25" s="27" t="s">
        <v>86</v>
      </c>
      <c r="B25" s="2" t="s">
        <v>10</v>
      </c>
      <c r="C25" s="45"/>
      <c r="D25" s="46"/>
      <c r="E25" s="46"/>
      <c r="F25" s="46"/>
      <c r="G25" s="46"/>
      <c r="H25" s="46">
        <v>345</v>
      </c>
      <c r="I25" s="46"/>
      <c r="J25" s="46"/>
      <c r="K25" s="46"/>
      <c r="L25" s="46"/>
      <c r="M25" s="46"/>
      <c r="N25" s="46"/>
      <c r="O25" s="30">
        <f t="shared" si="0"/>
        <v>345</v>
      </c>
      <c r="P25" s="10"/>
    </row>
    <row r="26" spans="1:16" s="11" customFormat="1">
      <c r="A26" s="27" t="s">
        <v>87</v>
      </c>
      <c r="B26" s="2" t="s">
        <v>10</v>
      </c>
      <c r="C26" s="45"/>
      <c r="D26" s="46"/>
      <c r="E26" s="46"/>
      <c r="F26" s="46"/>
      <c r="G26" s="46"/>
      <c r="H26" s="46">
        <v>290</v>
      </c>
      <c r="I26" s="46"/>
      <c r="J26" s="46"/>
      <c r="K26" s="46"/>
      <c r="L26" s="46"/>
      <c r="M26" s="46"/>
      <c r="N26" s="46"/>
      <c r="O26" s="30">
        <f t="shared" si="0"/>
        <v>290</v>
      </c>
      <c r="P26" s="10"/>
    </row>
    <row r="27" spans="1:16" s="11" customFormat="1">
      <c r="A27" s="27" t="s">
        <v>88</v>
      </c>
      <c r="B27" s="2" t="s">
        <v>10</v>
      </c>
      <c r="C27" s="45"/>
      <c r="D27" s="46"/>
      <c r="E27" s="46"/>
      <c r="F27" s="46"/>
      <c r="G27" s="46"/>
      <c r="H27" s="46">
        <v>87</v>
      </c>
      <c r="I27" s="46"/>
      <c r="J27" s="46"/>
      <c r="K27" s="46"/>
      <c r="L27" s="46"/>
      <c r="M27" s="46"/>
      <c r="N27" s="46"/>
      <c r="O27" s="30">
        <f t="shared" si="0"/>
        <v>87</v>
      </c>
      <c r="P27" s="10"/>
    </row>
    <row r="28" spans="1:16" s="11" customFormat="1">
      <c r="A28" s="27" t="s">
        <v>89</v>
      </c>
      <c r="B28" s="2" t="s">
        <v>10</v>
      </c>
      <c r="C28" s="45"/>
      <c r="D28" s="46"/>
      <c r="E28" s="46"/>
      <c r="F28" s="46"/>
      <c r="G28" s="46"/>
      <c r="H28" s="46">
        <v>2250</v>
      </c>
      <c r="I28" s="46"/>
      <c r="J28" s="46"/>
      <c r="K28" s="46"/>
      <c r="L28" s="46"/>
      <c r="M28" s="46"/>
      <c r="N28" s="46"/>
      <c r="O28" s="30">
        <f t="shared" si="0"/>
        <v>2250</v>
      </c>
      <c r="P28" s="10"/>
    </row>
    <row r="29" spans="1:16" s="11" customFormat="1">
      <c r="A29" s="27" t="s">
        <v>90</v>
      </c>
      <c r="B29" s="2" t="s">
        <v>10</v>
      </c>
      <c r="C29" s="45"/>
      <c r="D29" s="46"/>
      <c r="E29" s="46"/>
      <c r="F29" s="46"/>
      <c r="G29" s="46"/>
      <c r="H29" s="46">
        <v>246</v>
      </c>
      <c r="I29" s="46"/>
      <c r="J29" s="46"/>
      <c r="K29" s="46"/>
      <c r="L29" s="46"/>
      <c r="M29" s="46"/>
      <c r="N29" s="46"/>
      <c r="O29" s="30">
        <f t="shared" si="0"/>
        <v>246</v>
      </c>
      <c r="P29" s="10"/>
    </row>
    <row r="30" spans="1:16" s="11" customFormat="1">
      <c r="A30" s="27" t="s">
        <v>88</v>
      </c>
      <c r="B30" s="2" t="s">
        <v>10</v>
      </c>
      <c r="C30" s="45"/>
      <c r="D30" s="46"/>
      <c r="E30" s="46"/>
      <c r="F30" s="46"/>
      <c r="G30" s="46"/>
      <c r="H30" s="46">
        <v>760</v>
      </c>
      <c r="I30" s="46"/>
      <c r="J30" s="46"/>
      <c r="K30" s="46"/>
      <c r="L30" s="46"/>
      <c r="M30" s="46"/>
      <c r="N30" s="46"/>
      <c r="O30" s="30">
        <f t="shared" si="0"/>
        <v>760</v>
      </c>
      <c r="P30" s="10"/>
    </row>
    <row r="31" spans="1:16" s="11" customFormat="1">
      <c r="A31" s="2" t="s">
        <v>91</v>
      </c>
      <c r="B31" s="2" t="s">
        <v>10</v>
      </c>
      <c r="C31" s="29"/>
      <c r="D31" s="29"/>
      <c r="E31" s="29"/>
      <c r="F31" s="29"/>
      <c r="G31" s="29"/>
      <c r="H31" s="29"/>
      <c r="I31" s="29">
        <v>900</v>
      </c>
      <c r="J31" s="29"/>
      <c r="K31" s="29"/>
      <c r="L31" s="29"/>
      <c r="M31" s="29"/>
      <c r="N31" s="29"/>
      <c r="O31" s="30">
        <f t="shared" si="0"/>
        <v>900</v>
      </c>
      <c r="P31" s="10"/>
    </row>
    <row r="32" spans="1:16" s="11" customFormat="1">
      <c r="A32" s="2" t="s">
        <v>92</v>
      </c>
      <c r="B32" s="2" t="s">
        <v>10</v>
      </c>
      <c r="C32" s="29"/>
      <c r="D32" s="29"/>
      <c r="E32" s="29"/>
      <c r="F32" s="29"/>
      <c r="G32" s="29"/>
      <c r="H32" s="29"/>
      <c r="I32" s="29">
        <v>60</v>
      </c>
      <c r="J32" s="29"/>
      <c r="K32" s="29"/>
      <c r="L32" s="29"/>
      <c r="M32" s="29"/>
      <c r="N32" s="29"/>
      <c r="O32" s="30">
        <f t="shared" si="0"/>
        <v>60</v>
      </c>
      <c r="P32" s="10"/>
    </row>
    <row r="33" spans="1:16" s="11" customFormat="1">
      <c r="A33" s="2" t="s">
        <v>93</v>
      </c>
      <c r="B33" s="2" t="s">
        <v>10</v>
      </c>
      <c r="C33" s="29"/>
      <c r="D33" s="29"/>
      <c r="E33" s="29"/>
      <c r="F33" s="29"/>
      <c r="G33" s="29"/>
      <c r="H33" s="29"/>
      <c r="I33" s="29"/>
      <c r="J33" s="29">
        <f>1800+450</f>
        <v>2250</v>
      </c>
      <c r="K33" s="29"/>
      <c r="L33" s="29"/>
      <c r="M33" s="29"/>
      <c r="N33" s="29"/>
      <c r="O33" s="30">
        <f t="shared" si="0"/>
        <v>2250</v>
      </c>
      <c r="P33" s="10"/>
    </row>
    <row r="34" spans="1:16" s="11" customFormat="1">
      <c r="A34" s="2" t="s">
        <v>94</v>
      </c>
      <c r="B34" s="2" t="s">
        <v>10</v>
      </c>
      <c r="C34" s="29"/>
      <c r="D34" s="29"/>
      <c r="E34" s="29"/>
      <c r="F34" s="29"/>
      <c r="G34" s="29"/>
      <c r="H34" s="29"/>
      <c r="I34" s="29"/>
      <c r="J34" s="29">
        <f>4500+300+1500</f>
        <v>6300</v>
      </c>
      <c r="K34" s="29"/>
      <c r="L34" s="29"/>
      <c r="M34" s="29"/>
      <c r="N34" s="29"/>
      <c r="O34" s="30">
        <f t="shared" si="0"/>
        <v>6300</v>
      </c>
      <c r="P34" s="10"/>
    </row>
    <row r="35" spans="1:16" s="11" customFormat="1">
      <c r="A35" s="2" t="s">
        <v>95</v>
      </c>
      <c r="B35" s="2" t="s">
        <v>10</v>
      </c>
      <c r="C35" s="29"/>
      <c r="D35" s="29"/>
      <c r="E35" s="29"/>
      <c r="F35" s="29"/>
      <c r="G35" s="29"/>
      <c r="H35" s="29"/>
      <c r="I35" s="29"/>
      <c r="J35" s="29">
        <f>1700+500</f>
        <v>2200</v>
      </c>
      <c r="K35" s="29"/>
      <c r="L35" s="29"/>
      <c r="M35" s="29"/>
      <c r="N35" s="29"/>
      <c r="O35" s="30">
        <f t="shared" si="0"/>
        <v>2200</v>
      </c>
      <c r="P35" s="10"/>
    </row>
    <row r="36" spans="1:16" s="11" customFormat="1">
      <c r="A36" s="2" t="s">
        <v>96</v>
      </c>
      <c r="B36" s="2" t="s">
        <v>10</v>
      </c>
      <c r="C36" s="29"/>
      <c r="D36" s="29"/>
      <c r="E36" s="29"/>
      <c r="F36" s="29"/>
      <c r="G36" s="29"/>
      <c r="H36" s="29"/>
      <c r="I36" s="29"/>
      <c r="J36" s="29">
        <v>240</v>
      </c>
      <c r="K36" s="29"/>
      <c r="L36" s="29"/>
      <c r="M36" s="29"/>
      <c r="N36" s="29"/>
      <c r="O36" s="30">
        <f t="shared" si="0"/>
        <v>240</v>
      </c>
      <c r="P36" s="10"/>
    </row>
    <row r="37" spans="1:16" s="11" customFormat="1">
      <c r="A37" s="2" t="s">
        <v>97</v>
      </c>
      <c r="B37" s="2" t="s">
        <v>9</v>
      </c>
      <c r="C37" s="29"/>
      <c r="D37" s="29"/>
      <c r="E37" s="29"/>
      <c r="F37" s="29"/>
      <c r="G37" s="29"/>
      <c r="H37" s="29"/>
      <c r="I37" s="29"/>
      <c r="J37" s="29"/>
      <c r="K37" s="29"/>
      <c r="L37" s="29">
        <v>3500</v>
      </c>
      <c r="M37" s="29"/>
      <c r="N37" s="29"/>
      <c r="O37" s="30">
        <f t="shared" si="0"/>
        <v>3500</v>
      </c>
      <c r="P37" s="10"/>
    </row>
    <row r="38" spans="1:16" s="11" customFormat="1">
      <c r="A38" s="2" t="s">
        <v>97</v>
      </c>
      <c r="B38" s="2" t="s">
        <v>10</v>
      </c>
      <c r="C38" s="29"/>
      <c r="D38" s="29"/>
      <c r="E38" s="29"/>
      <c r="F38" s="29"/>
      <c r="G38" s="29"/>
      <c r="H38" s="29"/>
      <c r="I38" s="29"/>
      <c r="J38" s="29"/>
      <c r="K38" s="29"/>
      <c r="L38" s="29">
        <v>3900</v>
      </c>
      <c r="M38" s="29"/>
      <c r="N38" s="29"/>
      <c r="O38" s="30">
        <f t="shared" si="0"/>
        <v>3900</v>
      </c>
      <c r="P38" s="10"/>
    </row>
    <row r="39" spans="1:16" s="11" customFormat="1">
      <c r="A39" s="2" t="s">
        <v>98</v>
      </c>
      <c r="B39" s="2" t="s">
        <v>10</v>
      </c>
      <c r="C39" s="29"/>
      <c r="D39" s="29"/>
      <c r="E39" s="29"/>
      <c r="F39" s="29"/>
      <c r="G39" s="29"/>
      <c r="H39" s="29"/>
      <c r="I39" s="29"/>
      <c r="J39" s="29"/>
      <c r="K39" s="29"/>
      <c r="L39" s="29">
        <v>1600</v>
      </c>
      <c r="M39" s="29"/>
      <c r="N39" s="29"/>
      <c r="O39" s="30">
        <f t="shared" si="0"/>
        <v>1600</v>
      </c>
      <c r="P39" s="10"/>
    </row>
    <row r="40" spans="1:16" s="11" customFormat="1">
      <c r="A40" s="2" t="s">
        <v>99</v>
      </c>
      <c r="B40" s="2" t="s">
        <v>9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60">
        <v>1300</v>
      </c>
      <c r="N40" s="29"/>
      <c r="O40" s="30">
        <f t="shared" si="0"/>
        <v>1300</v>
      </c>
      <c r="P40" s="10"/>
    </row>
    <row r="41" spans="1:16" s="11" customFormat="1">
      <c r="A41" s="2" t="s">
        <v>100</v>
      </c>
      <c r="B41" s="2" t="s">
        <v>10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>
        <v>700</v>
      </c>
      <c r="N41" s="29"/>
      <c r="O41" s="30">
        <f t="shared" si="0"/>
        <v>700</v>
      </c>
      <c r="P41" s="10"/>
    </row>
    <row r="42" spans="1:16" s="11" customFormat="1">
      <c r="A42" s="52" t="s">
        <v>101</v>
      </c>
      <c r="B42" s="52" t="s">
        <v>10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>
        <v>6290</v>
      </c>
      <c r="N42" s="29"/>
      <c r="O42" s="30">
        <f t="shared" si="0"/>
        <v>6290</v>
      </c>
      <c r="P42" s="10"/>
    </row>
    <row r="43" spans="1:16" s="11" customFormat="1">
      <c r="A43" s="2" t="s">
        <v>80</v>
      </c>
      <c r="B43" s="2" t="s">
        <v>9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60">
        <v>2505</v>
      </c>
      <c r="N43" s="29"/>
      <c r="O43" s="30">
        <f t="shared" si="0"/>
        <v>2505</v>
      </c>
      <c r="P43" s="10"/>
    </row>
    <row r="44" spans="1:16" s="11" customFormat="1">
      <c r="A44" s="2" t="s">
        <v>102</v>
      </c>
      <c r="B44" s="2" t="s">
        <v>10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>
        <v>1500</v>
      </c>
      <c r="N44" s="29"/>
      <c r="O44" s="30">
        <f t="shared" si="0"/>
        <v>1500</v>
      </c>
      <c r="P44" s="10"/>
    </row>
    <row r="45" spans="1:16" s="11" customFormat="1">
      <c r="A45" s="2" t="s">
        <v>68</v>
      </c>
      <c r="B45" s="2" t="s">
        <v>10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>
        <v>1063</v>
      </c>
      <c r="N45" s="29"/>
      <c r="O45" s="30">
        <f t="shared" si="0"/>
        <v>1063</v>
      </c>
      <c r="P45" s="10"/>
    </row>
    <row r="46" spans="1:16" s="11" customFormat="1">
      <c r="A46" s="2" t="s">
        <v>80</v>
      </c>
      <c r="B46" s="2" t="s">
        <v>10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>
        <v>382</v>
      </c>
      <c r="N46" s="29"/>
      <c r="O46" s="30">
        <f t="shared" si="0"/>
        <v>382</v>
      </c>
      <c r="P46" s="10"/>
    </row>
    <row r="47" spans="1:16" s="11" customFormat="1" ht="31.15">
      <c r="A47" s="2" t="s">
        <v>103</v>
      </c>
      <c r="B47" s="2" t="s">
        <v>9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60">
        <v>6240</v>
      </c>
      <c r="N47" s="29"/>
      <c r="O47" s="30">
        <f t="shared" si="0"/>
        <v>6240</v>
      </c>
      <c r="P47" s="10"/>
    </row>
    <row r="48" spans="1:16" s="11" customFormat="1">
      <c r="A48" s="2" t="s">
        <v>104</v>
      </c>
      <c r="B48" s="2" t="s">
        <v>9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>
        <v>6360</v>
      </c>
      <c r="N48" s="29"/>
      <c r="O48" s="30">
        <f t="shared" si="0"/>
        <v>6360</v>
      </c>
      <c r="P48" s="10"/>
    </row>
    <row r="49" spans="1:16" s="11" customFormat="1">
      <c r="A49" s="2" t="s">
        <v>105</v>
      </c>
      <c r="B49" s="2" t="s">
        <v>9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>
        <v>2800</v>
      </c>
      <c r="N49" s="29"/>
      <c r="O49" s="30">
        <f t="shared" si="0"/>
        <v>2800</v>
      </c>
      <c r="P49" s="10"/>
    </row>
    <row r="50" spans="1:16" s="11" customFormat="1">
      <c r="A50" s="2" t="s">
        <v>106</v>
      </c>
      <c r="B50" s="2" t="s">
        <v>10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>
        <v>5647</v>
      </c>
      <c r="O50" s="30">
        <f t="shared" ref="O50:O54" si="1">SUM(C50:N50)</f>
        <v>5647</v>
      </c>
      <c r="P50" s="10"/>
    </row>
    <row r="51" spans="1:16" s="11" customFormat="1">
      <c r="A51" s="2" t="s">
        <v>107</v>
      </c>
      <c r="B51" s="2" t="s">
        <v>9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>
        <v>3870</v>
      </c>
      <c r="O51" s="30">
        <f>SUM(C51:N51)</f>
        <v>3870</v>
      </c>
      <c r="P51" s="10"/>
    </row>
    <row r="52" spans="1:16" s="11" customFormat="1">
      <c r="A52" s="2" t="s">
        <v>108</v>
      </c>
      <c r="B52" s="2" t="s">
        <v>10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>
        <v>700</v>
      </c>
      <c r="O52" s="30">
        <f>+SUM(C52:N52)</f>
        <v>700</v>
      </c>
      <c r="P52" s="10"/>
    </row>
    <row r="53" spans="1:16" s="11" customFormat="1">
      <c r="A53" s="2" t="s">
        <v>109</v>
      </c>
      <c r="B53" s="2" t="s">
        <v>10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>
        <v>1040</v>
      </c>
      <c r="O53" s="30">
        <f>SUM(C53:N53)</f>
        <v>1040</v>
      </c>
      <c r="P53" s="10"/>
    </row>
    <row r="54" spans="1:16" s="11" customFormat="1">
      <c r="A54" s="2" t="s">
        <v>110</v>
      </c>
      <c r="B54" s="2" t="s">
        <v>10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>
        <v>210</v>
      </c>
      <c r="O54" s="30">
        <f t="shared" si="1"/>
        <v>210</v>
      </c>
      <c r="P54" s="10"/>
    </row>
    <row r="55" spans="1:16" s="11" customFormat="1">
      <c r="A55" s="2" t="s">
        <v>111</v>
      </c>
      <c r="B55" s="2" t="s">
        <v>10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>
        <v>2930</v>
      </c>
      <c r="O55" s="30">
        <f t="shared" si="0"/>
        <v>2930</v>
      </c>
      <c r="P55" s="10"/>
    </row>
    <row r="56" spans="1:16" s="11" customFormat="1">
      <c r="A56" s="2" t="s">
        <v>112</v>
      </c>
      <c r="B56" s="2" t="s">
        <v>10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>
        <v>1350</v>
      </c>
      <c r="O56" s="30">
        <f t="shared" ref="O56" si="2">SUM(C56:N56)</f>
        <v>1350</v>
      </c>
      <c r="P56" s="10"/>
    </row>
    <row r="57" spans="1:16" s="11" customFormat="1">
      <c r="A57" s="2" t="s">
        <v>80</v>
      </c>
      <c r="B57" s="2" t="s">
        <v>10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30"/>
      <c r="P57" s="10"/>
    </row>
    <row r="58" spans="1:16" s="11" customFormat="1">
      <c r="A58" s="2"/>
      <c r="B58" s="2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30"/>
      <c r="P58" s="10"/>
    </row>
    <row r="59" spans="1:16" s="14" customFormat="1" ht="20.100000000000001" customHeight="1">
      <c r="A59" s="82" t="s">
        <v>62</v>
      </c>
      <c r="B59" s="83"/>
      <c r="C59" s="33">
        <f t="shared" ref="C59:O59" si="3">SUM(C2:C58)</f>
        <v>14413.19</v>
      </c>
      <c r="D59" s="33">
        <f t="shared" si="3"/>
        <v>12722</v>
      </c>
      <c r="E59" s="33">
        <f t="shared" si="3"/>
        <v>8766</v>
      </c>
      <c r="F59" s="33">
        <f t="shared" si="3"/>
        <v>475</v>
      </c>
      <c r="G59" s="33">
        <f t="shared" si="3"/>
        <v>1325</v>
      </c>
      <c r="H59" s="33">
        <f t="shared" si="3"/>
        <v>4148</v>
      </c>
      <c r="I59" s="33">
        <f t="shared" si="3"/>
        <v>960</v>
      </c>
      <c r="J59" s="33">
        <f t="shared" si="3"/>
        <v>10990</v>
      </c>
      <c r="K59" s="33">
        <f t="shared" si="3"/>
        <v>0</v>
      </c>
      <c r="L59" s="33">
        <f t="shared" si="3"/>
        <v>9000</v>
      </c>
      <c r="M59" s="33">
        <f t="shared" si="3"/>
        <v>29140</v>
      </c>
      <c r="N59" s="33">
        <f t="shared" si="3"/>
        <v>15747</v>
      </c>
      <c r="O59" s="33">
        <f t="shared" si="3"/>
        <v>107686.19</v>
      </c>
      <c r="P59" s="13"/>
    </row>
    <row r="60" spans="1:16" s="14" customFormat="1" ht="3.95" customHeight="1">
      <c r="A60" s="4"/>
      <c r="B60" s="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5"/>
      <c r="P60" s="15"/>
    </row>
    <row r="61" spans="1:16" s="14" customFormat="1" ht="20.100000000000001" customHeight="1">
      <c r="A61" s="16" t="s">
        <v>63</v>
      </c>
      <c r="B61" s="16" t="s">
        <v>64</v>
      </c>
      <c r="C61" s="36">
        <f t="shared" ref="C61:O61" si="4">SUMIF($B1:$B58,"=Cruz",C1:C58)</f>
        <v>1018.5</v>
      </c>
      <c r="D61" s="36">
        <f t="shared" si="4"/>
        <v>5822</v>
      </c>
      <c r="E61" s="36">
        <f t="shared" si="4"/>
        <v>0</v>
      </c>
      <c r="F61" s="36">
        <f t="shared" si="4"/>
        <v>475</v>
      </c>
      <c r="G61" s="36">
        <f t="shared" si="4"/>
        <v>1325</v>
      </c>
      <c r="H61" s="36">
        <f t="shared" si="4"/>
        <v>4148</v>
      </c>
      <c r="I61" s="36">
        <f t="shared" si="4"/>
        <v>960</v>
      </c>
      <c r="J61" s="36">
        <f t="shared" si="4"/>
        <v>10990</v>
      </c>
      <c r="K61" s="36">
        <f t="shared" si="4"/>
        <v>0</v>
      </c>
      <c r="L61" s="36">
        <f t="shared" si="4"/>
        <v>5500</v>
      </c>
      <c r="M61" s="36">
        <f t="shared" si="4"/>
        <v>9935</v>
      </c>
      <c r="N61" s="36">
        <f t="shared" si="4"/>
        <v>11877</v>
      </c>
      <c r="O61" s="36">
        <f t="shared" si="4"/>
        <v>52050.5</v>
      </c>
      <c r="P61" s="17"/>
    </row>
    <row r="62" spans="1:16" s="14" customFormat="1" ht="3.95" customHeight="1">
      <c r="A62" s="4"/>
      <c r="B62" s="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7"/>
      <c r="P62" s="15"/>
    </row>
    <row r="63" spans="1:16" s="14" customFormat="1" ht="20.100000000000001" customHeight="1">
      <c r="A63" s="18" t="s">
        <v>63</v>
      </c>
      <c r="B63" s="18" t="s">
        <v>9</v>
      </c>
      <c r="C63" s="38">
        <f t="shared" ref="C63:O63" si="5">SUMIF($B1:$B58,"=Douglas",C1:C58)</f>
        <v>13394.69</v>
      </c>
      <c r="D63" s="38">
        <f t="shared" si="5"/>
        <v>6900</v>
      </c>
      <c r="E63" s="38">
        <f t="shared" si="5"/>
        <v>8766</v>
      </c>
      <c r="F63" s="38">
        <f t="shared" si="5"/>
        <v>0</v>
      </c>
      <c r="G63" s="38">
        <f t="shared" si="5"/>
        <v>0</v>
      </c>
      <c r="H63" s="38">
        <f t="shared" si="5"/>
        <v>0</v>
      </c>
      <c r="I63" s="38">
        <f t="shared" si="5"/>
        <v>0</v>
      </c>
      <c r="J63" s="38">
        <f t="shared" si="5"/>
        <v>0</v>
      </c>
      <c r="K63" s="38">
        <f t="shared" si="5"/>
        <v>0</v>
      </c>
      <c r="L63" s="38">
        <f t="shared" si="5"/>
        <v>3500</v>
      </c>
      <c r="M63" s="38">
        <f t="shared" si="5"/>
        <v>19205</v>
      </c>
      <c r="N63" s="38">
        <f t="shared" si="5"/>
        <v>3870</v>
      </c>
      <c r="O63" s="38">
        <f t="shared" si="5"/>
        <v>55635.69</v>
      </c>
      <c r="P63" s="17"/>
    </row>
    <row r="64" spans="1:16" s="23" customFormat="1" ht="5.0999999999999996" customHeight="1">
      <c r="A64" s="19"/>
      <c r="B64" s="19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1"/>
      <c r="P64" s="22"/>
    </row>
    <row r="65" spans="2:15">
      <c r="O65" s="41"/>
    </row>
    <row r="66" spans="2:15">
      <c r="B66" s="39"/>
      <c r="C66" s="40"/>
      <c r="O66" s="41"/>
    </row>
  </sheetData>
  <mergeCells count="1">
    <mergeCell ref="A59:B59"/>
  </mergeCells>
  <pageMargins left="0.51181102362204722" right="0.51181102362204722" top="0.78740157480314965" bottom="0.78740157480314965" header="0.31496062992125984" footer="0.31496062992125984"/>
  <pageSetup paperSize="9" scale="48" orientation="landscape" r:id="rId1"/>
  <headerFooter scaleWithDoc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Douglas" xr:uid="{97F650D2-DC43-419F-B115-ED38A625CF0F}">
          <x14:formula1>
            <xm:f>Nomes!$A$2:$A$3</xm:f>
          </x14:formula1>
          <xm:sqref>B2:B58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C4C9-E6C0-4422-8892-982CC0D4F66A}">
  <sheetPr>
    <outlinePr showOutlineSymbols="0"/>
    <pageSetUpPr fitToPage="1"/>
  </sheetPr>
  <dimension ref="A1:P51"/>
  <sheetViews>
    <sheetView showGridLines="0" showZeros="0" showOutlineSymbols="0" defaultGridColor="0" view="pageBreakPreview" colorId="9" zoomScaleNormal="60" zoomScaleSheetLayoutView="100" workbookViewId="0">
      <pane ySplit="1" topLeftCell="J40" activePane="bottomLeft" state="frozen"/>
      <selection pane="bottomLeft" activeCell="N40" sqref="N40"/>
    </sheetView>
  </sheetViews>
  <sheetFormatPr defaultColWidth="8.875" defaultRowHeight="15.6"/>
  <cols>
    <col min="1" max="1" width="42.875" customWidth="1"/>
    <col min="2" max="2" width="18.5" customWidth="1"/>
    <col min="3" max="4" width="13.875" bestFit="1" customWidth="1"/>
    <col min="5" max="5" width="12.625" bestFit="1" customWidth="1"/>
    <col min="6" max="6" width="13.5" customWidth="1"/>
    <col min="7" max="7" width="12.625" bestFit="1" customWidth="1"/>
    <col min="8" max="9" width="13.5" bestFit="1" customWidth="1"/>
    <col min="10" max="10" width="13.875" style="24" bestFit="1" customWidth="1"/>
    <col min="11" max="11" width="13.5" style="24" bestFit="1" customWidth="1"/>
    <col min="12" max="12" width="15" style="24" customWidth="1"/>
    <col min="13" max="13" width="13.875" style="24" bestFit="1" customWidth="1"/>
    <col min="14" max="14" width="13.5" style="24" bestFit="1" customWidth="1"/>
    <col min="15" max="15" width="19.625" style="24" bestFit="1" customWidth="1"/>
    <col min="16" max="16" width="0.125" customWidth="1"/>
    <col min="17" max="16384" width="8.875" style="25"/>
  </cols>
  <sheetData>
    <row r="1" spans="1:16" s="9" customFormat="1" ht="20.100000000000001" customHeight="1">
      <c r="A1" s="5" t="s">
        <v>14</v>
      </c>
      <c r="B1" s="5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7" t="s">
        <v>28</v>
      </c>
      <c r="P1" s="8"/>
    </row>
    <row r="2" spans="1:16" s="11" customFormat="1">
      <c r="A2" s="26" t="s">
        <v>80</v>
      </c>
      <c r="B2" s="2" t="s">
        <v>10</v>
      </c>
      <c r="C2" s="28">
        <v>210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9"/>
      <c r="O2" s="30">
        <f t="shared" ref="O2:O29" si="0">SUM(C2:N2)</f>
        <v>210</v>
      </c>
      <c r="P2" s="10"/>
    </row>
    <row r="3" spans="1:16" s="11" customFormat="1">
      <c r="A3" s="26" t="s">
        <v>113</v>
      </c>
      <c r="B3" s="2" t="s">
        <v>10</v>
      </c>
      <c r="C3" s="28">
        <v>110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  <c r="O3" s="30">
        <f t="shared" si="0"/>
        <v>110</v>
      </c>
      <c r="P3" s="10"/>
    </row>
    <row r="4" spans="1:16" s="11" customFormat="1">
      <c r="A4" s="26" t="s">
        <v>114</v>
      </c>
      <c r="B4" s="2" t="s">
        <v>10</v>
      </c>
      <c r="C4" s="43">
        <v>235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30">
        <f t="shared" si="0"/>
        <v>235</v>
      </c>
      <c r="P4" s="10"/>
    </row>
    <row r="5" spans="1:16" s="11" customFormat="1">
      <c r="A5" s="27" t="s">
        <v>115</v>
      </c>
      <c r="B5" s="2" t="s">
        <v>10</v>
      </c>
      <c r="C5" s="45">
        <v>1105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30">
        <f t="shared" si="0"/>
        <v>1105</v>
      </c>
      <c r="P5" s="10"/>
    </row>
    <row r="6" spans="1:16" s="11" customFormat="1">
      <c r="A6" s="27" t="s">
        <v>116</v>
      </c>
      <c r="B6" s="2" t="s">
        <v>10</v>
      </c>
      <c r="C6" s="45">
        <v>595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30">
        <f t="shared" si="0"/>
        <v>595</v>
      </c>
      <c r="P6" s="10"/>
    </row>
    <row r="7" spans="1:16" s="11" customFormat="1" ht="15.95" customHeight="1">
      <c r="A7" s="42" t="s">
        <v>117</v>
      </c>
      <c r="B7" s="3" t="s">
        <v>10</v>
      </c>
      <c r="C7" s="45">
        <v>1770</v>
      </c>
      <c r="D7" s="46"/>
      <c r="E7" s="46"/>
      <c r="F7" s="46"/>
      <c r="G7" s="46"/>
      <c r="H7" s="46"/>
      <c r="I7" s="46"/>
      <c r="J7" s="46"/>
      <c r="K7" s="46"/>
      <c r="L7" s="46"/>
      <c r="M7" s="46">
        <v>2810</v>
      </c>
      <c r="N7" s="46"/>
      <c r="O7" s="30">
        <f t="shared" si="0"/>
        <v>4580</v>
      </c>
      <c r="P7" s="10"/>
    </row>
    <row r="8" spans="1:16" s="11" customFormat="1" ht="15.95" customHeight="1">
      <c r="A8" s="42" t="s">
        <v>118</v>
      </c>
      <c r="B8" s="3" t="s">
        <v>10</v>
      </c>
      <c r="C8" s="45">
        <v>123.5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30">
        <f t="shared" si="0"/>
        <v>123.5</v>
      </c>
      <c r="P8" s="10"/>
    </row>
    <row r="9" spans="1:16" s="11" customFormat="1" ht="15.95" customHeight="1">
      <c r="A9" s="42" t="s">
        <v>119</v>
      </c>
      <c r="B9" s="3" t="s">
        <v>10</v>
      </c>
      <c r="C9" s="45">
        <v>350</v>
      </c>
      <c r="D9" s="46"/>
      <c r="E9" s="46"/>
      <c r="F9" s="46"/>
      <c r="G9" s="46"/>
      <c r="H9" s="46"/>
      <c r="I9" s="46"/>
      <c r="J9" s="46"/>
      <c r="K9" s="46"/>
      <c r="L9" s="46"/>
      <c r="M9" s="70"/>
      <c r="N9" s="46"/>
      <c r="O9" s="30">
        <f t="shared" si="0"/>
        <v>350</v>
      </c>
      <c r="P9" s="10"/>
    </row>
    <row r="10" spans="1:16" s="11" customFormat="1" ht="15.95" customHeight="1">
      <c r="A10" s="42" t="s">
        <v>120</v>
      </c>
      <c r="B10" s="3" t="s">
        <v>9</v>
      </c>
      <c r="C10" s="45">
        <v>10000</v>
      </c>
      <c r="D10" s="46"/>
      <c r="E10" s="46"/>
      <c r="F10" s="46"/>
      <c r="G10" s="46"/>
      <c r="H10" s="46"/>
      <c r="I10" s="46"/>
      <c r="J10" s="46"/>
      <c r="K10" s="46"/>
      <c r="L10" s="46"/>
      <c r="M10" s="69">
        <v>17400</v>
      </c>
      <c r="N10" s="46"/>
      <c r="O10" s="30">
        <f t="shared" si="0"/>
        <v>27400</v>
      </c>
      <c r="P10" s="10"/>
    </row>
    <row r="11" spans="1:16" s="11" customFormat="1" ht="15.95" customHeight="1">
      <c r="A11" s="42" t="s">
        <v>80</v>
      </c>
      <c r="B11" s="65" t="s">
        <v>9</v>
      </c>
      <c r="C11" s="66">
        <v>95</v>
      </c>
      <c r="D11" s="61"/>
      <c r="E11" s="61"/>
      <c r="F11" s="46"/>
      <c r="G11" s="46"/>
      <c r="H11" s="46"/>
      <c r="I11" s="46"/>
      <c r="J11" s="46"/>
      <c r="K11" s="46"/>
      <c r="L11" s="69">
        <v>2030</v>
      </c>
      <c r="M11" s="46"/>
      <c r="N11" s="46"/>
      <c r="O11" s="30">
        <f t="shared" si="0"/>
        <v>2125</v>
      </c>
      <c r="P11" s="10"/>
    </row>
    <row r="12" spans="1:16" s="11" customFormat="1" ht="15.95" customHeight="1">
      <c r="A12" s="42" t="s">
        <v>121</v>
      </c>
      <c r="B12" s="65" t="s">
        <v>10</v>
      </c>
      <c r="C12" s="66">
        <v>180</v>
      </c>
      <c r="D12" s="61"/>
      <c r="E12" s="61"/>
      <c r="F12" s="46"/>
      <c r="G12" s="46"/>
      <c r="H12" s="46"/>
      <c r="I12" s="46"/>
      <c r="J12" s="46"/>
      <c r="K12" s="46"/>
      <c r="L12" s="46"/>
      <c r="M12" s="46"/>
      <c r="N12" s="46"/>
      <c r="O12" s="30">
        <f t="shared" si="0"/>
        <v>180</v>
      </c>
      <c r="P12" s="10"/>
    </row>
    <row r="13" spans="1:16" s="11" customFormat="1" ht="15.95" customHeight="1">
      <c r="A13" s="42" t="s">
        <v>119</v>
      </c>
      <c r="B13" s="65" t="s">
        <v>10</v>
      </c>
      <c r="C13" s="66"/>
      <c r="D13" s="61">
        <v>180</v>
      </c>
      <c r="E13" s="61"/>
      <c r="F13" s="46"/>
      <c r="G13" s="46"/>
      <c r="H13" s="46"/>
      <c r="I13" s="46"/>
      <c r="J13" s="46"/>
      <c r="K13" s="46"/>
      <c r="L13" s="46"/>
      <c r="M13" s="46"/>
      <c r="N13" s="46"/>
      <c r="O13" s="30">
        <f t="shared" si="0"/>
        <v>180</v>
      </c>
      <c r="P13" s="10"/>
    </row>
    <row r="14" spans="1:16" s="11" customFormat="1" ht="17.100000000000001" customHeight="1">
      <c r="A14" s="27" t="s">
        <v>122</v>
      </c>
      <c r="B14" s="52" t="s">
        <v>10</v>
      </c>
      <c r="C14" s="66"/>
      <c r="D14" s="61">
        <v>300</v>
      </c>
      <c r="E14" s="61"/>
      <c r="F14" s="46"/>
      <c r="G14" s="46"/>
      <c r="H14" s="46"/>
      <c r="I14" s="46"/>
      <c r="J14" s="46"/>
      <c r="K14" s="46"/>
      <c r="L14" s="46"/>
      <c r="M14" s="46"/>
      <c r="N14" s="46"/>
      <c r="O14" s="30">
        <f t="shared" si="0"/>
        <v>300</v>
      </c>
      <c r="P14" s="10"/>
    </row>
    <row r="15" spans="1:16" s="11" customFormat="1">
      <c r="A15" s="27" t="s">
        <v>123</v>
      </c>
      <c r="B15" s="52" t="s">
        <v>9</v>
      </c>
      <c r="C15" s="66"/>
      <c r="D15" s="61">
        <v>1695</v>
      </c>
      <c r="E15" s="61"/>
      <c r="F15" s="46"/>
      <c r="G15" s="46"/>
      <c r="H15" s="46"/>
      <c r="I15" s="46"/>
      <c r="J15" s="46"/>
      <c r="K15" s="46"/>
      <c r="L15" s="46"/>
      <c r="M15" s="46"/>
      <c r="N15" s="46"/>
      <c r="O15" s="30">
        <f t="shared" si="0"/>
        <v>1695</v>
      </c>
      <c r="P15" s="10"/>
    </row>
    <row r="16" spans="1:16" s="11" customFormat="1">
      <c r="A16" s="27" t="s">
        <v>124</v>
      </c>
      <c r="B16" s="52" t="s">
        <v>9</v>
      </c>
      <c r="C16" s="66"/>
      <c r="D16" s="61">
        <v>828</v>
      </c>
      <c r="E16" s="61"/>
      <c r="F16" s="46"/>
      <c r="G16" s="46"/>
      <c r="H16" s="46"/>
      <c r="I16" s="46"/>
      <c r="J16" s="46"/>
      <c r="K16" s="46"/>
      <c r="L16" s="46"/>
      <c r="M16" s="46"/>
      <c r="N16" s="46"/>
      <c r="O16" s="30">
        <f t="shared" si="0"/>
        <v>828</v>
      </c>
      <c r="P16" s="10"/>
    </row>
    <row r="17" spans="1:16" s="11" customFormat="1">
      <c r="A17" s="27" t="s">
        <v>125</v>
      </c>
      <c r="B17" s="52" t="s">
        <v>9</v>
      </c>
      <c r="C17" s="66"/>
      <c r="D17" s="61"/>
      <c r="E17" s="61">
        <v>600</v>
      </c>
      <c r="F17" s="46"/>
      <c r="G17" s="46"/>
      <c r="H17" s="46"/>
      <c r="I17" s="46"/>
      <c r="J17" s="46"/>
      <c r="K17" s="46"/>
      <c r="L17" s="46"/>
      <c r="M17" s="46"/>
      <c r="N17" s="46"/>
      <c r="O17" s="30">
        <f t="shared" si="0"/>
        <v>600</v>
      </c>
      <c r="P17" s="10"/>
    </row>
    <row r="18" spans="1:16" s="11" customFormat="1">
      <c r="A18" s="27" t="s">
        <v>126</v>
      </c>
      <c r="B18" s="52" t="s">
        <v>10</v>
      </c>
      <c r="C18" s="66"/>
      <c r="D18" s="61"/>
      <c r="E18" s="61">
        <v>450</v>
      </c>
      <c r="F18" s="46"/>
      <c r="G18" s="46"/>
      <c r="H18" s="46"/>
      <c r="I18" s="46"/>
      <c r="J18" s="46"/>
      <c r="K18" s="46"/>
      <c r="L18" s="46"/>
      <c r="M18" s="46"/>
      <c r="N18" s="46"/>
      <c r="O18" s="30">
        <f t="shared" si="0"/>
        <v>450</v>
      </c>
      <c r="P18" s="10"/>
    </row>
    <row r="19" spans="1:16" s="11" customFormat="1">
      <c r="A19" s="27" t="s">
        <v>127</v>
      </c>
      <c r="B19" s="52" t="s">
        <v>9</v>
      </c>
      <c r="C19" s="66"/>
      <c r="D19" s="61"/>
      <c r="E19" s="61">
        <v>970</v>
      </c>
      <c r="F19" s="46"/>
      <c r="G19" s="46"/>
      <c r="H19" s="46"/>
      <c r="I19" s="46"/>
      <c r="J19" s="46"/>
      <c r="K19" s="46"/>
      <c r="L19" s="46"/>
      <c r="M19" s="46"/>
      <c r="N19" s="46"/>
      <c r="O19" s="30">
        <f t="shared" si="0"/>
        <v>970</v>
      </c>
      <c r="P19" s="10"/>
    </row>
    <row r="20" spans="1:16" s="11" customFormat="1">
      <c r="A20" s="27" t="s">
        <v>128</v>
      </c>
      <c r="B20" s="52" t="s">
        <v>9</v>
      </c>
      <c r="C20" s="66"/>
      <c r="D20" s="61"/>
      <c r="E20" s="61">
        <v>1380</v>
      </c>
      <c r="F20" s="46"/>
      <c r="G20" s="46"/>
      <c r="H20" s="46"/>
      <c r="I20" s="46"/>
      <c r="J20" s="46"/>
      <c r="K20" s="46"/>
      <c r="L20" s="46"/>
      <c r="M20" s="46"/>
      <c r="N20" s="46"/>
      <c r="O20" s="30">
        <f t="shared" si="0"/>
        <v>1380</v>
      </c>
      <c r="P20" s="10"/>
    </row>
    <row r="21" spans="1:16" s="11" customFormat="1">
      <c r="A21" s="27" t="s">
        <v>129</v>
      </c>
      <c r="B21" s="52" t="s">
        <v>9</v>
      </c>
      <c r="C21" s="66"/>
      <c r="D21" s="61"/>
      <c r="E21" s="61">
        <v>590</v>
      </c>
      <c r="F21" s="46"/>
      <c r="G21" s="46"/>
      <c r="H21" s="46"/>
      <c r="I21" s="46"/>
      <c r="J21" s="46"/>
      <c r="K21" s="46"/>
      <c r="L21" s="46"/>
      <c r="M21" s="46"/>
      <c r="N21" s="46"/>
      <c r="O21" s="30">
        <f t="shared" si="0"/>
        <v>590</v>
      </c>
      <c r="P21" s="10"/>
    </row>
    <row r="22" spans="1:16" s="11" customFormat="1">
      <c r="A22" s="27" t="s">
        <v>130</v>
      </c>
      <c r="B22" s="52" t="s">
        <v>9</v>
      </c>
      <c r="C22" s="66"/>
      <c r="D22" s="61"/>
      <c r="E22" s="61"/>
      <c r="F22" s="46">
        <v>850</v>
      </c>
      <c r="G22" s="46"/>
      <c r="H22" s="46"/>
      <c r="I22" s="46"/>
      <c r="J22" s="46"/>
      <c r="K22" s="46"/>
      <c r="L22" s="46"/>
      <c r="M22" s="69">
        <v>570</v>
      </c>
      <c r="N22" s="46"/>
      <c r="O22" s="30">
        <f t="shared" si="0"/>
        <v>1420</v>
      </c>
      <c r="P22" s="10"/>
    </row>
    <row r="23" spans="1:16" s="11" customFormat="1">
      <c r="A23" s="27" t="s">
        <v>131</v>
      </c>
      <c r="B23" s="2" t="s">
        <v>10</v>
      </c>
      <c r="C23" s="45"/>
      <c r="D23" s="46"/>
      <c r="E23" s="46"/>
      <c r="F23" s="61">
        <v>1100</v>
      </c>
      <c r="G23" s="46"/>
      <c r="H23" s="46"/>
      <c r="I23" s="46"/>
      <c r="J23" s="46"/>
      <c r="K23" s="46"/>
      <c r="L23" s="46"/>
      <c r="M23" s="46"/>
      <c r="N23" s="46"/>
      <c r="O23" s="30">
        <f t="shared" si="0"/>
        <v>1100</v>
      </c>
      <c r="P23" s="10"/>
    </row>
    <row r="24" spans="1:16" s="11" customFormat="1">
      <c r="A24" s="27" t="s">
        <v>132</v>
      </c>
      <c r="B24" s="2" t="s">
        <v>10</v>
      </c>
      <c r="C24" s="45"/>
      <c r="D24" s="46"/>
      <c r="E24" s="46"/>
      <c r="F24" s="61">
        <v>360</v>
      </c>
      <c r="G24" s="46"/>
      <c r="H24" s="46"/>
      <c r="I24" s="46"/>
      <c r="J24" s="46"/>
      <c r="K24" s="46"/>
      <c r="L24" s="46"/>
      <c r="M24" s="46"/>
      <c r="N24" s="46"/>
      <c r="O24" s="30">
        <f t="shared" si="0"/>
        <v>360</v>
      </c>
      <c r="P24" s="10"/>
    </row>
    <row r="25" spans="1:16" s="11" customFormat="1">
      <c r="A25" s="27" t="s">
        <v>133</v>
      </c>
      <c r="B25" s="2" t="s">
        <v>9</v>
      </c>
      <c r="C25" s="45"/>
      <c r="D25" s="46"/>
      <c r="E25" s="46"/>
      <c r="F25" s="46"/>
      <c r="G25" s="46">
        <v>500</v>
      </c>
      <c r="H25" s="46"/>
      <c r="I25" s="46"/>
      <c r="J25" s="46"/>
      <c r="K25" s="46"/>
      <c r="L25" s="46"/>
      <c r="M25" s="69"/>
      <c r="N25" s="46"/>
      <c r="O25" s="30">
        <f t="shared" si="0"/>
        <v>500</v>
      </c>
      <c r="P25" s="10"/>
    </row>
    <row r="26" spans="1:16" s="11" customFormat="1">
      <c r="A26" s="27" t="s">
        <v>89</v>
      </c>
      <c r="B26" s="2" t="s">
        <v>9</v>
      </c>
      <c r="C26" s="45"/>
      <c r="D26" s="46"/>
      <c r="E26" s="46"/>
      <c r="F26" s="46"/>
      <c r="G26" s="46">
        <v>3000</v>
      </c>
      <c r="H26" s="46"/>
      <c r="I26" s="46"/>
      <c r="J26" s="46"/>
      <c r="K26" s="46"/>
      <c r="L26" s="46"/>
      <c r="M26" s="46"/>
      <c r="N26" s="46"/>
      <c r="O26" s="30">
        <f t="shared" si="0"/>
        <v>3000</v>
      </c>
      <c r="P26" s="10"/>
    </row>
    <row r="27" spans="1:16" s="11" customFormat="1">
      <c r="A27" s="27" t="s">
        <v>80</v>
      </c>
      <c r="B27" s="2" t="s">
        <v>10</v>
      </c>
      <c r="C27" s="45"/>
      <c r="D27" s="46"/>
      <c r="E27" s="46"/>
      <c r="F27" s="46"/>
      <c r="G27" s="46">
        <v>107</v>
      </c>
      <c r="H27" s="46"/>
      <c r="I27" s="46"/>
      <c r="J27" s="46"/>
      <c r="K27" s="46"/>
      <c r="L27" s="46">
        <v>624</v>
      </c>
      <c r="M27" s="46"/>
      <c r="N27" s="46"/>
      <c r="O27" s="30">
        <f t="shared" si="0"/>
        <v>731</v>
      </c>
      <c r="P27" s="10"/>
    </row>
    <row r="28" spans="1:16" s="11" customFormat="1">
      <c r="A28" s="27" t="s">
        <v>134</v>
      </c>
      <c r="B28" s="2" t="s">
        <v>10</v>
      </c>
      <c r="C28" s="45"/>
      <c r="D28" s="46"/>
      <c r="E28" s="46"/>
      <c r="F28" s="46"/>
      <c r="G28" s="46">
        <v>180</v>
      </c>
      <c r="H28" s="46"/>
      <c r="I28" s="46"/>
      <c r="J28" s="46"/>
      <c r="K28" s="46"/>
      <c r="L28" s="46">
        <v>180</v>
      </c>
      <c r="M28" s="46">
        <v>1000</v>
      </c>
      <c r="N28" s="46"/>
      <c r="O28" s="30">
        <f t="shared" si="0"/>
        <v>1360</v>
      </c>
      <c r="P28" s="10"/>
    </row>
    <row r="29" spans="1:16" s="11" customFormat="1">
      <c r="A29" s="27" t="s">
        <v>80</v>
      </c>
      <c r="B29" s="2" t="s">
        <v>10</v>
      </c>
      <c r="C29" s="45"/>
      <c r="D29" s="46"/>
      <c r="E29" s="46"/>
      <c r="F29" s="46"/>
      <c r="G29" s="46">
        <v>730</v>
      </c>
      <c r="H29" s="46"/>
      <c r="I29" s="46"/>
      <c r="J29" s="46">
        <v>360</v>
      </c>
      <c r="K29" s="46"/>
      <c r="L29" s="46"/>
      <c r="M29" s="46"/>
      <c r="N29" s="46"/>
      <c r="O29" s="30">
        <f t="shared" si="0"/>
        <v>1090</v>
      </c>
      <c r="P29" s="10"/>
    </row>
    <row r="30" spans="1:16" s="11" customFormat="1">
      <c r="A30" s="27" t="s">
        <v>89</v>
      </c>
      <c r="B30" s="2" t="s">
        <v>10</v>
      </c>
      <c r="C30" s="45"/>
      <c r="D30" s="46"/>
      <c r="E30" s="46"/>
      <c r="F30" s="46"/>
      <c r="G30" s="67"/>
      <c r="H30" s="68">
        <v>6803</v>
      </c>
      <c r="I30" s="46"/>
      <c r="J30" s="46"/>
      <c r="K30" s="46"/>
      <c r="L30" s="46"/>
      <c r="M30" s="46"/>
      <c r="N30" s="46" t="s">
        <v>135</v>
      </c>
      <c r="O30" s="30">
        <v>9803</v>
      </c>
      <c r="P30" s="10"/>
    </row>
    <row r="31" spans="1:16" s="11" customFormat="1">
      <c r="A31" s="2" t="s">
        <v>89</v>
      </c>
      <c r="B31" s="2" t="s">
        <v>9</v>
      </c>
      <c r="C31" s="29"/>
      <c r="D31" s="29"/>
      <c r="E31" s="29"/>
      <c r="F31" s="29"/>
      <c r="G31" s="29"/>
      <c r="H31" s="53">
        <v>6000</v>
      </c>
      <c r="I31" s="29"/>
      <c r="J31" s="29"/>
      <c r="K31" s="29"/>
      <c r="L31" s="29"/>
      <c r="M31" s="29"/>
      <c r="N31" s="29"/>
      <c r="O31" s="30">
        <f t="shared" ref="O31:O43" si="1">SUM(C31:N31)</f>
        <v>6000</v>
      </c>
      <c r="P31" s="10"/>
    </row>
    <row r="32" spans="1:16" s="11" customFormat="1">
      <c r="A32" s="2" t="s">
        <v>136</v>
      </c>
      <c r="B32" s="52" t="s">
        <v>9</v>
      </c>
      <c r="C32" s="29"/>
      <c r="D32" s="29"/>
      <c r="E32" s="29"/>
      <c r="F32" s="29"/>
      <c r="G32" s="29"/>
      <c r="H32" s="29"/>
      <c r="I32" s="53">
        <v>6460</v>
      </c>
      <c r="J32" s="29"/>
      <c r="K32" s="29"/>
      <c r="L32" s="29"/>
      <c r="M32" s="29"/>
      <c r="N32" s="29"/>
      <c r="O32" s="30">
        <f t="shared" si="1"/>
        <v>6460</v>
      </c>
      <c r="P32" s="10"/>
    </row>
    <row r="33" spans="1:16" s="11" customFormat="1">
      <c r="A33" s="2" t="s">
        <v>137</v>
      </c>
      <c r="B33" s="2" t="s">
        <v>10</v>
      </c>
      <c r="C33" s="29"/>
      <c r="D33" s="29"/>
      <c r="E33" s="29"/>
      <c r="F33" s="29"/>
      <c r="G33" s="29"/>
      <c r="H33" s="29"/>
      <c r="I33" s="29">
        <v>1303</v>
      </c>
      <c r="J33" s="29"/>
      <c r="K33" s="29"/>
      <c r="L33" s="29"/>
      <c r="M33" s="29"/>
      <c r="N33" s="29"/>
      <c r="O33" s="30">
        <f t="shared" si="1"/>
        <v>1303</v>
      </c>
      <c r="P33" s="10"/>
    </row>
    <row r="34" spans="1:16" s="11" customFormat="1">
      <c r="A34" s="2" t="s">
        <v>138</v>
      </c>
      <c r="B34" s="2" t="s">
        <v>10</v>
      </c>
      <c r="C34" s="29"/>
      <c r="D34" s="29"/>
      <c r="E34" s="29"/>
      <c r="F34" s="29"/>
      <c r="G34" s="29"/>
      <c r="H34" s="29">
        <v>300</v>
      </c>
      <c r="I34" s="29"/>
      <c r="J34" s="29">
        <v>1100</v>
      </c>
      <c r="K34" s="29"/>
      <c r="L34" s="29"/>
      <c r="M34" s="29"/>
      <c r="N34" s="29"/>
      <c r="O34" s="30">
        <f t="shared" si="1"/>
        <v>1400</v>
      </c>
      <c r="P34" s="10"/>
    </row>
    <row r="35" spans="1:16" s="11" customFormat="1">
      <c r="A35" s="2" t="s">
        <v>139</v>
      </c>
      <c r="B35" s="52" t="s">
        <v>9</v>
      </c>
      <c r="C35" s="29"/>
      <c r="D35" s="29"/>
      <c r="E35" s="29"/>
      <c r="F35" s="29"/>
      <c r="G35" s="29"/>
      <c r="H35" s="29"/>
      <c r="I35" s="53">
        <v>2058.21</v>
      </c>
      <c r="J35" s="29"/>
      <c r="K35" s="53">
        <v>1212.8</v>
      </c>
      <c r="L35" s="29"/>
      <c r="M35" s="29"/>
      <c r="N35" s="29"/>
      <c r="O35" s="30">
        <f t="shared" si="1"/>
        <v>3271.01</v>
      </c>
      <c r="P35" s="10"/>
    </row>
    <row r="36" spans="1:16" s="11" customFormat="1">
      <c r="A36" s="2" t="s">
        <v>140</v>
      </c>
      <c r="B36" s="52" t="s">
        <v>9</v>
      </c>
      <c r="C36" s="29"/>
      <c r="D36" s="29"/>
      <c r="E36" s="29"/>
      <c r="F36" s="29"/>
      <c r="G36" s="29"/>
      <c r="H36" s="29"/>
      <c r="I36" s="53">
        <v>1697</v>
      </c>
      <c r="J36" s="29"/>
      <c r="K36" s="29"/>
      <c r="L36" s="29"/>
      <c r="M36" s="29"/>
      <c r="N36" s="29"/>
      <c r="O36" s="30">
        <f t="shared" si="1"/>
        <v>1697</v>
      </c>
      <c r="P36" s="10"/>
    </row>
    <row r="37" spans="1:16" s="11" customFormat="1">
      <c r="A37" s="2" t="s">
        <v>141</v>
      </c>
      <c r="B37" s="2" t="s">
        <v>10</v>
      </c>
      <c r="C37" s="29"/>
      <c r="D37" s="29"/>
      <c r="E37" s="29"/>
      <c r="F37" s="29"/>
      <c r="G37" s="29"/>
      <c r="H37" s="29"/>
      <c r="I37" s="29"/>
      <c r="J37" s="29"/>
      <c r="K37" s="29">
        <v>303</v>
      </c>
      <c r="L37" s="29">
        <v>1375</v>
      </c>
      <c r="M37" s="29"/>
      <c r="N37" s="29">
        <v>4200</v>
      </c>
      <c r="O37" s="30">
        <f t="shared" si="1"/>
        <v>5878</v>
      </c>
      <c r="P37" s="10"/>
    </row>
    <row r="38" spans="1:16" s="11" customFormat="1">
      <c r="A38" s="2" t="s">
        <v>142</v>
      </c>
      <c r="B38" s="2" t="s">
        <v>10</v>
      </c>
      <c r="C38" s="29"/>
      <c r="D38" s="29"/>
      <c r="E38" s="29"/>
      <c r="F38" s="29"/>
      <c r="G38" s="29"/>
      <c r="H38" s="29"/>
      <c r="I38" s="29"/>
      <c r="J38" s="29">
        <v>2125</v>
      </c>
      <c r="K38" s="29"/>
      <c r="L38" s="29"/>
      <c r="M38" s="29"/>
      <c r="N38" s="29"/>
      <c r="O38" s="30">
        <f t="shared" si="1"/>
        <v>2125</v>
      </c>
      <c r="P38" s="10"/>
    </row>
    <row r="39" spans="1:16" s="11" customFormat="1">
      <c r="A39" s="2" t="s">
        <v>143</v>
      </c>
      <c r="B39" s="2" t="s">
        <v>10</v>
      </c>
      <c r="C39" s="29"/>
      <c r="D39" s="29"/>
      <c r="E39" s="29"/>
      <c r="F39" s="29"/>
      <c r="G39" s="29"/>
      <c r="H39" s="29"/>
      <c r="I39" s="29"/>
      <c r="J39" s="29">
        <v>3000</v>
      </c>
      <c r="K39" s="29"/>
      <c r="L39" s="29"/>
      <c r="M39" s="29"/>
      <c r="N39" s="29"/>
      <c r="O39" s="30">
        <f t="shared" si="1"/>
        <v>3000</v>
      </c>
      <c r="P39" s="10"/>
    </row>
    <row r="40" spans="1:16" s="11" customFormat="1">
      <c r="A40" s="2" t="s">
        <v>144</v>
      </c>
      <c r="B40" s="2" t="s">
        <v>10</v>
      </c>
      <c r="C40" s="29"/>
      <c r="D40" s="29"/>
      <c r="E40" s="29"/>
      <c r="F40" s="29"/>
      <c r="G40" s="29"/>
      <c r="H40" s="29"/>
      <c r="I40" s="29"/>
      <c r="J40" s="29"/>
      <c r="K40" s="29">
        <v>6955.83</v>
      </c>
      <c r="L40" s="29">
        <v>1961</v>
      </c>
      <c r="M40" s="29"/>
      <c r="N40" s="29"/>
      <c r="O40" s="30">
        <f t="shared" si="1"/>
        <v>8916.83</v>
      </c>
      <c r="P40" s="10"/>
    </row>
    <row r="41" spans="1:16" s="11" customFormat="1">
      <c r="A41" s="2" t="s">
        <v>145</v>
      </c>
      <c r="B41" s="2" t="s">
        <v>10</v>
      </c>
      <c r="C41" s="29"/>
      <c r="D41" s="29"/>
      <c r="E41" s="29"/>
      <c r="F41" s="29"/>
      <c r="G41" s="29"/>
      <c r="H41" s="29"/>
      <c r="I41" s="29"/>
      <c r="J41" s="29"/>
      <c r="K41" s="29">
        <v>2000</v>
      </c>
      <c r="L41" s="29"/>
      <c r="M41" s="29"/>
      <c r="N41" s="29"/>
      <c r="O41" s="30">
        <f t="shared" si="1"/>
        <v>2000</v>
      </c>
      <c r="P41" s="10"/>
    </row>
    <row r="42" spans="1:16" s="11" customFormat="1">
      <c r="A42" s="2" t="s">
        <v>146</v>
      </c>
      <c r="B42" s="2" t="s">
        <v>10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>
        <v>130</v>
      </c>
      <c r="N42" s="29">
        <v>800</v>
      </c>
      <c r="O42" s="30">
        <f t="shared" si="1"/>
        <v>930</v>
      </c>
      <c r="P42" s="10"/>
    </row>
    <row r="43" spans="1:16" s="11" customFormat="1">
      <c r="A43" s="2"/>
      <c r="B43" s="2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30">
        <f t="shared" si="1"/>
        <v>0</v>
      </c>
      <c r="P43" s="10"/>
    </row>
    <row r="44" spans="1:16" s="14" customFormat="1" ht="20.100000000000001" customHeight="1">
      <c r="A44" s="82" t="s">
        <v>62</v>
      </c>
      <c r="B44" s="83"/>
      <c r="C44" s="33">
        <f t="shared" ref="C44:O44" si="2">SUM(C2:C43)</f>
        <v>14773.5</v>
      </c>
      <c r="D44" s="33">
        <f t="shared" si="2"/>
        <v>3003</v>
      </c>
      <c r="E44" s="33">
        <f t="shared" si="2"/>
        <v>3990</v>
      </c>
      <c r="F44" s="33">
        <f t="shared" si="2"/>
        <v>2310</v>
      </c>
      <c r="G44" s="33">
        <f t="shared" si="2"/>
        <v>4517</v>
      </c>
      <c r="H44" s="33">
        <f t="shared" si="2"/>
        <v>13103</v>
      </c>
      <c r="I44" s="33">
        <f t="shared" si="2"/>
        <v>11518.21</v>
      </c>
      <c r="J44" s="33">
        <f t="shared" si="2"/>
        <v>6585</v>
      </c>
      <c r="K44" s="33">
        <f t="shared" si="2"/>
        <v>10471.629999999999</v>
      </c>
      <c r="L44" s="33">
        <f t="shared" si="2"/>
        <v>6170</v>
      </c>
      <c r="M44" s="33">
        <f t="shared" si="2"/>
        <v>21910</v>
      </c>
      <c r="N44" s="33">
        <f t="shared" si="2"/>
        <v>5000</v>
      </c>
      <c r="O44" s="33">
        <f t="shared" si="2"/>
        <v>106351.34</v>
      </c>
      <c r="P44" s="13"/>
    </row>
    <row r="45" spans="1:16" s="14" customFormat="1" ht="3.95" customHeight="1">
      <c r="A45" s="4"/>
      <c r="B45" s="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5"/>
      <c r="P45" s="15"/>
    </row>
    <row r="46" spans="1:16" s="14" customFormat="1" ht="20.100000000000001" customHeight="1">
      <c r="A46" s="16" t="s">
        <v>63</v>
      </c>
      <c r="B46" s="16" t="s">
        <v>64</v>
      </c>
      <c r="C46" s="36">
        <f t="shared" ref="C46:O46" si="3">SUMIF($B1:$B42,"=Cruz",C1:C42)</f>
        <v>4678.5</v>
      </c>
      <c r="D46" s="36">
        <f t="shared" si="3"/>
        <v>480</v>
      </c>
      <c r="E46" s="36">
        <f t="shared" si="3"/>
        <v>450</v>
      </c>
      <c r="F46" s="36">
        <f t="shared" si="3"/>
        <v>1460</v>
      </c>
      <c r="G46" s="36">
        <f t="shared" si="3"/>
        <v>1017</v>
      </c>
      <c r="H46" s="36">
        <f t="shared" si="3"/>
        <v>7103</v>
      </c>
      <c r="I46" s="36">
        <f t="shared" si="3"/>
        <v>1303</v>
      </c>
      <c r="J46" s="36">
        <f t="shared" si="3"/>
        <v>6585</v>
      </c>
      <c r="K46" s="36">
        <f t="shared" si="3"/>
        <v>9258.83</v>
      </c>
      <c r="L46" s="36">
        <f t="shared" si="3"/>
        <v>4140</v>
      </c>
      <c r="M46" s="36">
        <f t="shared" si="3"/>
        <v>3940</v>
      </c>
      <c r="N46" s="36">
        <f t="shared" si="3"/>
        <v>5000</v>
      </c>
      <c r="O46" s="36">
        <f t="shared" si="3"/>
        <v>48415.33</v>
      </c>
      <c r="P46" s="17"/>
    </row>
    <row r="47" spans="1:16" s="14" customFormat="1" ht="3.95" customHeight="1">
      <c r="A47" s="4"/>
      <c r="B47" s="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7"/>
      <c r="P47" s="15"/>
    </row>
    <row r="48" spans="1:16" s="14" customFormat="1" ht="20.100000000000001" customHeight="1">
      <c r="A48" s="18" t="s">
        <v>63</v>
      </c>
      <c r="B48" s="18" t="s">
        <v>9</v>
      </c>
      <c r="C48" s="38">
        <f t="shared" ref="C48:O48" si="4">SUMIF($B1:$B42,"=Douglas",C1:C42)</f>
        <v>10095</v>
      </c>
      <c r="D48" s="38">
        <f t="shared" si="4"/>
        <v>2523</v>
      </c>
      <c r="E48" s="38">
        <f t="shared" si="4"/>
        <v>3540</v>
      </c>
      <c r="F48" s="38">
        <f t="shared" si="4"/>
        <v>850</v>
      </c>
      <c r="G48" s="38">
        <f t="shared" si="4"/>
        <v>3500</v>
      </c>
      <c r="H48" s="38">
        <f t="shared" si="4"/>
        <v>6000</v>
      </c>
      <c r="I48" s="38">
        <f t="shared" si="4"/>
        <v>10215.209999999999</v>
      </c>
      <c r="J48" s="38">
        <f t="shared" si="4"/>
        <v>0</v>
      </c>
      <c r="K48" s="38">
        <f t="shared" si="4"/>
        <v>1212.8</v>
      </c>
      <c r="L48" s="38">
        <f t="shared" si="4"/>
        <v>2030</v>
      </c>
      <c r="M48" s="38">
        <f t="shared" si="4"/>
        <v>17970</v>
      </c>
      <c r="N48" s="38">
        <f t="shared" si="4"/>
        <v>0</v>
      </c>
      <c r="O48" s="38">
        <f t="shared" si="4"/>
        <v>57936.01</v>
      </c>
      <c r="P48" s="17"/>
    </row>
    <row r="49" spans="1:16" s="23" customFormat="1" ht="5.0999999999999996" customHeight="1">
      <c r="A49" s="19"/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1"/>
      <c r="P49" s="22"/>
    </row>
    <row r="50" spans="1:16">
      <c r="O50" s="41"/>
    </row>
    <row r="51" spans="1:16">
      <c r="B51" s="39"/>
      <c r="C51" s="40"/>
      <c r="O51" s="41"/>
    </row>
  </sheetData>
  <mergeCells count="1">
    <mergeCell ref="A44:B44"/>
  </mergeCells>
  <pageMargins left="0.51181102362204722" right="0.51181102362204722" top="0.78740157480314965" bottom="0.78740157480314965" header="0.31496062992125984" footer="0.31496062992125984"/>
  <pageSetup paperSize="9" scale="51" orientation="landscape" r:id="rId1"/>
  <headerFooter scaleWithDoc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Douglas" xr:uid="{1D741EA5-DBE8-4613-9425-45F02756B8A2}">
          <x14:formula1>
            <xm:f>Nomes!$A$2:$A$3</xm:f>
          </x14:formula1>
          <xm:sqref>B2:B43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04BC-EA52-4BDF-905F-3F84964C994D}">
  <sheetPr>
    <outlinePr showOutlineSymbols="0"/>
    <pageSetUpPr fitToPage="1"/>
  </sheetPr>
  <dimension ref="A1:Q28"/>
  <sheetViews>
    <sheetView showGridLines="0" showZeros="0" showOutlineSymbols="0" defaultGridColor="0" view="pageBreakPreview" colorId="9" zoomScaleNormal="60" zoomScaleSheetLayoutView="100" workbookViewId="0">
      <pane ySplit="1" topLeftCell="G15" activePane="bottomLeft" state="frozen"/>
      <selection pane="bottomLeft" activeCell="S20" sqref="S20"/>
    </sheetView>
  </sheetViews>
  <sheetFormatPr defaultColWidth="8.875" defaultRowHeight="15.6"/>
  <cols>
    <col min="1" max="1" width="42.875" customWidth="1"/>
    <col min="2" max="2" width="19.625" customWidth="1"/>
    <col min="3" max="3" width="18.5" customWidth="1"/>
    <col min="4" max="5" width="13.875" bestFit="1" customWidth="1"/>
    <col min="6" max="6" width="12.625" bestFit="1" customWidth="1"/>
    <col min="7" max="7" width="13.5" customWidth="1"/>
    <col min="8" max="8" width="12.625" bestFit="1" customWidth="1"/>
    <col min="9" max="10" width="13.5" bestFit="1" customWidth="1"/>
    <col min="11" max="11" width="13.875" style="24" bestFit="1" customWidth="1"/>
    <col min="12" max="12" width="13.5" style="24" bestFit="1" customWidth="1"/>
    <col min="13" max="13" width="15" style="24" customWidth="1"/>
    <col min="14" max="14" width="13.875" style="24" bestFit="1" customWidth="1"/>
    <col min="15" max="15" width="12.625" style="24" bestFit="1" customWidth="1"/>
    <col min="16" max="16" width="19.625" style="24" bestFit="1" customWidth="1"/>
    <col min="17" max="17" width="0.125" customWidth="1"/>
    <col min="18" max="16384" width="8.875" style="25"/>
  </cols>
  <sheetData>
    <row r="1" spans="1:17" s="9" customFormat="1" ht="20.100000000000001" customHeight="1">
      <c r="A1" s="5" t="s">
        <v>14</v>
      </c>
      <c r="B1" s="5" t="s">
        <v>147</v>
      </c>
      <c r="C1" s="5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7" t="s">
        <v>28</v>
      </c>
      <c r="Q1" s="8"/>
    </row>
    <row r="2" spans="1:17" s="11" customFormat="1">
      <c r="A2" s="26" t="s">
        <v>148</v>
      </c>
      <c r="B2" s="71"/>
      <c r="C2" s="2" t="s">
        <v>10</v>
      </c>
      <c r="D2" s="28">
        <v>1372.85</v>
      </c>
      <c r="E2" s="28">
        <v>223</v>
      </c>
      <c r="F2" s="28">
        <v>274.60000000000002</v>
      </c>
      <c r="G2" s="28">
        <v>254.24</v>
      </c>
      <c r="H2" s="28"/>
      <c r="I2" s="28">
        <v>272.39999999999998</v>
      </c>
      <c r="J2" s="28">
        <v>272.39999999999998</v>
      </c>
      <c r="K2" s="28">
        <v>465.19</v>
      </c>
      <c r="L2" s="28"/>
      <c r="M2" s="28">
        <v>596.5</v>
      </c>
      <c r="N2" s="28">
        <v>573</v>
      </c>
      <c r="O2" s="29">
        <v>592.1</v>
      </c>
      <c r="P2" s="30">
        <f>SUM(D2:O2)</f>
        <v>4896.2800000000007</v>
      </c>
      <c r="Q2" s="10"/>
    </row>
    <row r="3" spans="1:17" s="11" customFormat="1">
      <c r="A3" s="26" t="s">
        <v>138</v>
      </c>
      <c r="B3" s="71"/>
      <c r="C3" s="2" t="s">
        <v>10</v>
      </c>
      <c r="D3" s="28">
        <v>1100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9"/>
      <c r="P3" s="30">
        <f t="shared" ref="P3:P20" si="0">SUM(D3:O3)</f>
        <v>1100</v>
      </c>
      <c r="Q3" s="10"/>
    </row>
    <row r="4" spans="1:17" s="11" customFormat="1">
      <c r="A4" s="26" t="s">
        <v>138</v>
      </c>
      <c r="B4" s="71"/>
      <c r="C4" s="2" t="s">
        <v>9</v>
      </c>
      <c r="D4" s="43">
        <v>2000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30">
        <f t="shared" si="0"/>
        <v>2000</v>
      </c>
      <c r="Q4" s="10"/>
    </row>
    <row r="5" spans="1:17" s="11" customFormat="1">
      <c r="A5" s="27" t="s">
        <v>80</v>
      </c>
      <c r="B5" s="72"/>
      <c r="C5" s="2" t="s">
        <v>10</v>
      </c>
      <c r="D5" s="45">
        <v>2590</v>
      </c>
      <c r="E5" s="46">
        <v>5912.4</v>
      </c>
      <c r="F5" s="46">
        <v>1336</v>
      </c>
      <c r="G5" s="46">
        <v>1010.32</v>
      </c>
      <c r="H5" s="46"/>
      <c r="I5" s="46">
        <v>440</v>
      </c>
      <c r="J5" s="46">
        <v>760</v>
      </c>
      <c r="K5" s="46">
        <v>365</v>
      </c>
      <c r="L5" s="46">
        <v>630</v>
      </c>
      <c r="M5" s="46">
        <v>1730</v>
      </c>
      <c r="N5" s="46">
        <v>5843</v>
      </c>
      <c r="O5" s="46"/>
      <c r="P5" s="30">
        <f t="shared" si="0"/>
        <v>20616.72</v>
      </c>
      <c r="Q5" s="10"/>
    </row>
    <row r="6" spans="1:17" s="11" customFormat="1">
      <c r="A6" s="27" t="s">
        <v>149</v>
      </c>
      <c r="B6" s="72"/>
      <c r="C6" s="2" t="s">
        <v>10</v>
      </c>
      <c r="D6" s="45">
        <v>1786.23</v>
      </c>
      <c r="E6" s="46"/>
      <c r="F6" s="46">
        <v>711.18</v>
      </c>
      <c r="G6" s="46">
        <v>1000</v>
      </c>
      <c r="H6" s="46"/>
      <c r="I6" s="46">
        <v>1861</v>
      </c>
      <c r="J6" s="46">
        <v>2375</v>
      </c>
      <c r="K6" s="46">
        <v>1740</v>
      </c>
      <c r="L6" s="46"/>
      <c r="M6" s="46"/>
      <c r="N6" s="46"/>
      <c r="O6" s="46"/>
      <c r="P6" s="30">
        <f t="shared" si="0"/>
        <v>9473.41</v>
      </c>
      <c r="Q6" s="10"/>
    </row>
    <row r="7" spans="1:17" s="11" customFormat="1">
      <c r="A7" s="2" t="s">
        <v>120</v>
      </c>
      <c r="B7" s="73">
        <v>45278</v>
      </c>
      <c r="C7" s="2" t="s">
        <v>9</v>
      </c>
      <c r="D7" s="29">
        <v>12000</v>
      </c>
      <c r="E7" s="60">
        <v>8000</v>
      </c>
      <c r="F7" s="29"/>
      <c r="G7" s="29"/>
      <c r="H7" s="29"/>
      <c r="I7" s="29"/>
      <c r="J7" s="29"/>
      <c r="K7" s="29"/>
      <c r="L7" s="29"/>
      <c r="M7" s="29"/>
      <c r="N7" s="29"/>
      <c r="O7" s="46"/>
      <c r="P7" s="30">
        <f>SUM(D7:N7)</f>
        <v>20000</v>
      </c>
      <c r="Q7" s="10"/>
    </row>
    <row r="8" spans="1:17" s="11" customFormat="1" ht="21.75" customHeight="1">
      <c r="A8" s="42" t="s">
        <v>150</v>
      </c>
      <c r="B8" s="74"/>
      <c r="C8" s="2" t="s">
        <v>9</v>
      </c>
      <c r="D8" s="45"/>
      <c r="E8" s="46"/>
      <c r="F8" s="46"/>
      <c r="G8" s="46"/>
      <c r="H8" s="69">
        <v>281.48</v>
      </c>
      <c r="I8" s="46"/>
      <c r="J8" s="46"/>
      <c r="K8" s="46"/>
      <c r="L8" s="46"/>
      <c r="M8" s="46"/>
      <c r="N8" s="46"/>
      <c r="O8" s="46"/>
      <c r="P8" s="30">
        <f t="shared" si="0"/>
        <v>281.48</v>
      </c>
      <c r="Q8" s="10"/>
    </row>
    <row r="9" spans="1:17" s="11" customFormat="1" ht="16.5" customHeight="1">
      <c r="A9" s="42" t="s">
        <v>151</v>
      </c>
      <c r="B9" s="74"/>
      <c r="C9" s="2" t="s">
        <v>10</v>
      </c>
      <c r="D9" s="45"/>
      <c r="E9" s="46"/>
      <c r="F9" s="46">
        <v>3022.13</v>
      </c>
      <c r="G9" s="46"/>
      <c r="H9" s="46"/>
      <c r="I9" s="46"/>
      <c r="J9" s="46"/>
      <c r="K9" s="46"/>
      <c r="L9" s="46"/>
      <c r="M9" s="46"/>
      <c r="N9" s="70"/>
      <c r="O9" s="46"/>
      <c r="P9" s="30">
        <f t="shared" si="0"/>
        <v>3022.13</v>
      </c>
      <c r="Q9" s="10"/>
    </row>
    <row r="10" spans="1:17" s="11" customFormat="1" ht="15.95" customHeight="1">
      <c r="A10" s="42" t="s">
        <v>152</v>
      </c>
      <c r="B10" s="74"/>
      <c r="C10" s="2" t="s">
        <v>9</v>
      </c>
      <c r="D10" s="45"/>
      <c r="E10" s="46"/>
      <c r="F10" s="46"/>
      <c r="G10" s="69">
        <v>5000</v>
      </c>
      <c r="H10" s="69">
        <v>2719</v>
      </c>
      <c r="I10" s="46"/>
      <c r="J10" s="46"/>
      <c r="K10" s="46"/>
      <c r="L10" s="46"/>
      <c r="M10" s="46"/>
      <c r="N10" s="69"/>
      <c r="O10" s="46"/>
      <c r="P10" s="30">
        <f t="shared" si="0"/>
        <v>7719</v>
      </c>
      <c r="Q10" s="10"/>
    </row>
    <row r="11" spans="1:17" s="11" customFormat="1" ht="15.95" customHeight="1">
      <c r="A11" s="42" t="s">
        <v>153</v>
      </c>
      <c r="B11" s="74"/>
      <c r="C11" s="2" t="s">
        <v>9</v>
      </c>
      <c r="D11" s="66"/>
      <c r="E11" s="61"/>
      <c r="F11" s="61"/>
      <c r="G11" s="46"/>
      <c r="H11" s="46"/>
      <c r="I11" s="46">
        <v>9000</v>
      </c>
      <c r="J11" s="46"/>
      <c r="K11" s="46"/>
      <c r="L11" s="46"/>
      <c r="M11" s="69"/>
      <c r="N11" s="46"/>
      <c r="O11" s="46"/>
      <c r="P11" s="30">
        <f t="shared" si="0"/>
        <v>9000</v>
      </c>
      <c r="Q11" s="10"/>
    </row>
    <row r="12" spans="1:17" s="11" customFormat="1" ht="15.95" customHeight="1">
      <c r="A12" s="42" t="s">
        <v>153</v>
      </c>
      <c r="B12" s="74"/>
      <c r="C12" s="2" t="s">
        <v>10</v>
      </c>
      <c r="D12" s="66"/>
      <c r="E12" s="61"/>
      <c r="F12" s="61"/>
      <c r="G12" s="46"/>
      <c r="H12" s="46"/>
      <c r="I12" s="46">
        <v>3100</v>
      </c>
      <c r="J12" s="46"/>
      <c r="K12" s="46"/>
      <c r="L12" s="46"/>
      <c r="M12" s="46"/>
      <c r="N12" s="46"/>
      <c r="O12" s="46"/>
      <c r="P12" s="30">
        <f t="shared" si="0"/>
        <v>3100</v>
      </c>
      <c r="Q12" s="10"/>
    </row>
    <row r="13" spans="1:17" s="11" customFormat="1" ht="15.95" customHeight="1">
      <c r="A13" s="42" t="s">
        <v>154</v>
      </c>
      <c r="B13" s="74"/>
      <c r="C13" s="2" t="s">
        <v>10</v>
      </c>
      <c r="D13" s="66"/>
      <c r="E13" s="61"/>
      <c r="F13" s="61"/>
      <c r="G13" s="46"/>
      <c r="H13" s="46"/>
      <c r="I13" s="46">
        <v>455</v>
      </c>
      <c r="J13" s="46"/>
      <c r="K13" s="46">
        <v>960</v>
      </c>
      <c r="L13" s="46"/>
      <c r="M13" s="46"/>
      <c r="N13" s="46"/>
      <c r="O13" s="46"/>
      <c r="P13" s="30">
        <f t="shared" si="0"/>
        <v>1415</v>
      </c>
      <c r="Q13" s="10"/>
    </row>
    <row r="14" spans="1:17" s="11" customFormat="1" ht="17.100000000000001" customHeight="1">
      <c r="A14" s="27" t="s">
        <v>155</v>
      </c>
      <c r="B14" s="72"/>
      <c r="C14" s="2" t="s">
        <v>9</v>
      </c>
      <c r="D14" s="66"/>
      <c r="E14" s="61"/>
      <c r="F14" s="61"/>
      <c r="G14" s="46"/>
      <c r="H14" s="46"/>
      <c r="I14" s="46"/>
      <c r="J14" s="46">
        <v>9215</v>
      </c>
      <c r="K14" s="46"/>
      <c r="L14" s="46"/>
      <c r="M14" s="46"/>
      <c r="N14" s="46"/>
      <c r="O14" s="46"/>
      <c r="P14" s="30">
        <f t="shared" si="0"/>
        <v>9215</v>
      </c>
      <c r="Q14" s="10"/>
    </row>
    <row r="15" spans="1:17" s="11" customFormat="1">
      <c r="A15" s="27" t="s">
        <v>156</v>
      </c>
      <c r="B15" s="72"/>
      <c r="C15" s="2" t="s">
        <v>10</v>
      </c>
      <c r="D15" s="66"/>
      <c r="E15" s="61"/>
      <c r="F15" s="61"/>
      <c r="G15" s="46"/>
      <c r="H15" s="46"/>
      <c r="I15" s="46"/>
      <c r="J15" s="46">
        <v>4425</v>
      </c>
      <c r="K15" s="46"/>
      <c r="L15" s="46"/>
      <c r="M15" s="46"/>
      <c r="N15" s="46"/>
      <c r="O15" s="46"/>
      <c r="P15" s="30">
        <f t="shared" si="0"/>
        <v>4425</v>
      </c>
      <c r="Q15" s="10"/>
    </row>
    <row r="16" spans="1:17" s="11" customFormat="1">
      <c r="A16" s="27" t="s">
        <v>157</v>
      </c>
      <c r="B16" s="72"/>
      <c r="C16" s="2" t="s">
        <v>10</v>
      </c>
      <c r="D16" s="66"/>
      <c r="E16" s="61"/>
      <c r="F16" s="61"/>
      <c r="G16" s="46"/>
      <c r="H16" s="46"/>
      <c r="I16" s="46">
        <v>498</v>
      </c>
      <c r="J16" s="46"/>
      <c r="K16" s="46"/>
      <c r="L16" s="46"/>
      <c r="M16" s="46"/>
      <c r="N16" s="46"/>
      <c r="O16" s="46"/>
      <c r="P16" s="30">
        <f t="shared" si="0"/>
        <v>498</v>
      </c>
      <c r="Q16" s="10"/>
    </row>
    <row r="17" spans="1:17" s="11" customFormat="1">
      <c r="A17" s="27" t="s">
        <v>158</v>
      </c>
      <c r="B17" s="72"/>
      <c r="C17" s="2" t="s">
        <v>10</v>
      </c>
      <c r="D17" s="66"/>
      <c r="E17" s="61"/>
      <c r="F17" s="61"/>
      <c r="G17" s="46"/>
      <c r="H17" s="46"/>
      <c r="I17" s="46"/>
      <c r="J17" s="46">
        <v>120</v>
      </c>
      <c r="K17" s="46"/>
      <c r="L17" s="46"/>
      <c r="M17" s="46"/>
      <c r="N17" s="46"/>
      <c r="O17" s="46"/>
      <c r="P17" s="30">
        <f t="shared" si="0"/>
        <v>120</v>
      </c>
      <c r="Q17" s="10"/>
    </row>
    <row r="18" spans="1:17" s="11" customFormat="1">
      <c r="A18" s="27" t="s">
        <v>159</v>
      </c>
      <c r="B18" s="72"/>
      <c r="C18" s="2" t="s">
        <v>9</v>
      </c>
      <c r="D18" s="66"/>
      <c r="E18" s="61"/>
      <c r="F18" s="61"/>
      <c r="G18" s="46"/>
      <c r="H18" s="46"/>
      <c r="I18" s="46"/>
      <c r="J18" s="46"/>
      <c r="K18" s="46"/>
      <c r="L18" s="46"/>
      <c r="M18" s="46"/>
      <c r="N18" s="46"/>
      <c r="O18" s="46">
        <v>17237.5</v>
      </c>
      <c r="P18" s="30">
        <f t="shared" si="0"/>
        <v>17237.5</v>
      </c>
      <c r="Q18" s="10"/>
    </row>
    <row r="19" spans="1:17" s="11" customFormat="1">
      <c r="A19" s="27" t="s">
        <v>160</v>
      </c>
      <c r="B19" s="72"/>
      <c r="C19" s="2" t="s">
        <v>10</v>
      </c>
      <c r="D19" s="66"/>
      <c r="E19" s="61"/>
      <c r="F19" s="61"/>
      <c r="G19" s="46"/>
      <c r="H19" s="46"/>
      <c r="I19" s="46"/>
      <c r="J19" s="46"/>
      <c r="K19" s="46"/>
      <c r="L19" s="46"/>
      <c r="M19" s="46"/>
      <c r="N19" s="46"/>
      <c r="O19" s="46">
        <v>15300</v>
      </c>
      <c r="P19" s="30">
        <f t="shared" si="0"/>
        <v>15300</v>
      </c>
      <c r="Q19" s="10"/>
    </row>
    <row r="20" spans="1:17" s="11" customFormat="1">
      <c r="A20" s="2"/>
      <c r="B20" s="73"/>
      <c r="C20" s="2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>
        <f t="shared" si="0"/>
        <v>0</v>
      </c>
      <c r="Q20" s="10"/>
    </row>
    <row r="21" spans="1:17" s="14" customFormat="1" ht="20.100000000000001" customHeight="1">
      <c r="A21" s="82" t="s">
        <v>62</v>
      </c>
      <c r="B21" s="82"/>
      <c r="C21" s="83"/>
      <c r="D21" s="33">
        <f t="shared" ref="D21:P21" si="1">SUM(D2:D20)</f>
        <v>20849.080000000002</v>
      </c>
      <c r="E21" s="33">
        <f t="shared" si="1"/>
        <v>14135.4</v>
      </c>
      <c r="F21" s="33">
        <f t="shared" si="1"/>
        <v>5343.91</v>
      </c>
      <c r="G21" s="33">
        <f t="shared" si="1"/>
        <v>7264.5599999999995</v>
      </c>
      <c r="H21" s="33">
        <f t="shared" si="1"/>
        <v>3000.48</v>
      </c>
      <c r="I21" s="33">
        <f t="shared" si="1"/>
        <v>15626.4</v>
      </c>
      <c r="J21" s="33">
        <f t="shared" si="1"/>
        <v>17167.400000000001</v>
      </c>
      <c r="K21" s="33">
        <f t="shared" si="1"/>
        <v>3530.19</v>
      </c>
      <c r="L21" s="33">
        <f t="shared" si="1"/>
        <v>630</v>
      </c>
      <c r="M21" s="33">
        <f t="shared" si="1"/>
        <v>2326.5</v>
      </c>
      <c r="N21" s="33">
        <f t="shared" si="1"/>
        <v>6416</v>
      </c>
      <c r="O21" s="33">
        <f t="shared" si="1"/>
        <v>33129.599999999999</v>
      </c>
      <c r="P21" s="33">
        <f t="shared" si="1"/>
        <v>129419.52</v>
      </c>
      <c r="Q21" s="13"/>
    </row>
    <row r="22" spans="1:17" s="14" customFormat="1" ht="3.95" customHeight="1">
      <c r="A22" s="4"/>
      <c r="B22" s="4"/>
      <c r="C22" s="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  <c r="Q22" s="15"/>
    </row>
    <row r="23" spans="1:17" s="14" customFormat="1" ht="20.100000000000001" customHeight="1">
      <c r="A23" s="16" t="s">
        <v>63</v>
      </c>
      <c r="B23" s="16"/>
      <c r="C23" s="16" t="s">
        <v>64</v>
      </c>
      <c r="D23" s="36">
        <f t="shared" ref="D23:P23" si="2">SUMIF($C1:$C19,"=Cruz",D1:D19)</f>
        <v>6849.08</v>
      </c>
      <c r="E23" s="36">
        <f t="shared" si="2"/>
        <v>6135.4</v>
      </c>
      <c r="F23" s="36">
        <f t="shared" si="2"/>
        <v>5343.91</v>
      </c>
      <c r="G23" s="36">
        <f t="shared" si="2"/>
        <v>2264.56</v>
      </c>
      <c r="H23" s="36">
        <f t="shared" si="2"/>
        <v>0</v>
      </c>
      <c r="I23" s="36">
        <f t="shared" si="2"/>
        <v>6626.4</v>
      </c>
      <c r="J23" s="36">
        <f t="shared" si="2"/>
        <v>7952.4</v>
      </c>
      <c r="K23" s="36">
        <f t="shared" si="2"/>
        <v>3530.19</v>
      </c>
      <c r="L23" s="36">
        <f t="shared" si="2"/>
        <v>630</v>
      </c>
      <c r="M23" s="36">
        <f t="shared" si="2"/>
        <v>2326.5</v>
      </c>
      <c r="N23" s="36">
        <f t="shared" si="2"/>
        <v>6416</v>
      </c>
      <c r="O23" s="36">
        <f t="shared" si="2"/>
        <v>15892.1</v>
      </c>
      <c r="P23" s="36">
        <f t="shared" si="2"/>
        <v>63966.54</v>
      </c>
      <c r="Q23" s="17"/>
    </row>
    <row r="24" spans="1:17" s="14" customFormat="1" ht="3.95" customHeight="1">
      <c r="A24" s="4"/>
      <c r="B24" s="4"/>
      <c r="C24" s="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7"/>
      <c r="Q24" s="15"/>
    </row>
    <row r="25" spans="1:17" s="14" customFormat="1" ht="20.100000000000001" customHeight="1">
      <c r="A25" s="18" t="s">
        <v>63</v>
      </c>
      <c r="B25" s="18"/>
      <c r="C25" s="18" t="s">
        <v>9</v>
      </c>
      <c r="D25" s="38">
        <f t="shared" ref="D25:P25" si="3">SUMIF($C1:$C19,"=Douglas",D1:D19)</f>
        <v>14000</v>
      </c>
      <c r="E25" s="38">
        <f t="shared" si="3"/>
        <v>8000</v>
      </c>
      <c r="F25" s="38">
        <f t="shared" si="3"/>
        <v>0</v>
      </c>
      <c r="G25" s="38">
        <f t="shared" si="3"/>
        <v>5000</v>
      </c>
      <c r="H25" s="38">
        <f t="shared" si="3"/>
        <v>3000.48</v>
      </c>
      <c r="I25" s="38">
        <f t="shared" si="3"/>
        <v>9000</v>
      </c>
      <c r="J25" s="38">
        <f t="shared" si="3"/>
        <v>9215</v>
      </c>
      <c r="K25" s="38">
        <f t="shared" si="3"/>
        <v>0</v>
      </c>
      <c r="L25" s="38">
        <f t="shared" si="3"/>
        <v>0</v>
      </c>
      <c r="M25" s="38">
        <f t="shared" si="3"/>
        <v>0</v>
      </c>
      <c r="N25" s="38">
        <f t="shared" si="3"/>
        <v>0</v>
      </c>
      <c r="O25" s="38">
        <f t="shared" si="3"/>
        <v>17237.5</v>
      </c>
      <c r="P25" s="38">
        <f t="shared" si="3"/>
        <v>65452.979999999996</v>
      </c>
      <c r="Q25" s="17"/>
    </row>
    <row r="26" spans="1:17" s="23" customFormat="1" ht="5.0999999999999996" customHeight="1">
      <c r="A26" s="19"/>
      <c r="B26" s="19"/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1"/>
      <c r="Q26" s="22"/>
    </row>
    <row r="27" spans="1:17">
      <c r="P27" s="41"/>
    </row>
    <row r="28" spans="1:17">
      <c r="C28" s="39"/>
      <c r="D28" s="40"/>
      <c r="P28" s="41"/>
    </row>
  </sheetData>
  <mergeCells count="1">
    <mergeCell ref="A21:C21"/>
  </mergeCells>
  <pageMargins left="0.51181102362204722" right="0.51181102362204722" top="0.78740157480314965" bottom="0.78740157480314965" header="0.31496062992125984" footer="0.31496062992125984"/>
  <pageSetup paperSize="9" scale="47" orientation="landscape" r:id="rId1"/>
  <headerFooter scaleWithDoc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Douglas" xr:uid="{0F8A043F-CFA8-4C37-A55A-A89B359F8F54}">
          <x14:formula1>
            <xm:f>Nomes!$A$2:$A$3</xm:f>
          </x14:formula1>
          <xm:sqref>C2:C20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6D27-775B-4A65-8EBB-1E514A9721FF}">
  <sheetPr>
    <outlinePr showOutlineSymbols="0"/>
    <pageSetUpPr fitToPage="1"/>
  </sheetPr>
  <dimension ref="A1:R34"/>
  <sheetViews>
    <sheetView showGridLines="0" showZeros="0" showOutlineSymbols="0" defaultGridColor="0" view="pageBreakPreview" colorId="9" zoomScaleNormal="60" zoomScaleSheetLayoutView="100" workbookViewId="0">
      <pane ySplit="1" topLeftCell="H16" activePane="bottomLeft" state="frozen"/>
      <selection pane="bottomLeft" activeCell="K27" sqref="K27:O27"/>
    </sheetView>
  </sheetViews>
  <sheetFormatPr defaultColWidth="8.875" defaultRowHeight="15.6"/>
  <cols>
    <col min="1" max="1" width="42.875" customWidth="1"/>
    <col min="2" max="2" width="19.625" customWidth="1"/>
    <col min="3" max="3" width="18.5" customWidth="1"/>
    <col min="4" max="5" width="13.875" bestFit="1" customWidth="1"/>
    <col min="6" max="6" width="12.625" bestFit="1" customWidth="1"/>
    <col min="7" max="7" width="13.5" customWidth="1"/>
    <col min="8" max="8" width="12.625" bestFit="1" customWidth="1"/>
    <col min="9" max="10" width="13.5" bestFit="1" customWidth="1"/>
    <col min="11" max="11" width="13.875" style="24" bestFit="1" customWidth="1"/>
    <col min="12" max="12" width="13.5" style="24" bestFit="1" customWidth="1"/>
    <col min="13" max="13" width="15" style="24" customWidth="1"/>
    <col min="14" max="14" width="13.875" style="24" bestFit="1" customWidth="1"/>
    <col min="15" max="15" width="14.5" style="24" customWidth="1"/>
    <col min="16" max="16" width="19.625" style="24" bestFit="1" customWidth="1"/>
    <col min="17" max="17" width="0.125" customWidth="1"/>
    <col min="18" max="18" width="10.625" style="25" bestFit="1" customWidth="1"/>
    <col min="19" max="16384" width="8.875" style="25"/>
  </cols>
  <sheetData>
    <row r="1" spans="1:17" s="9" customFormat="1" ht="20.100000000000001" customHeight="1">
      <c r="A1" s="5" t="s">
        <v>14</v>
      </c>
      <c r="B1" s="5" t="s">
        <v>161</v>
      </c>
      <c r="C1" s="5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7" t="s">
        <v>28</v>
      </c>
      <c r="Q1" s="8"/>
    </row>
    <row r="2" spans="1:17" s="11" customFormat="1">
      <c r="A2" s="26" t="s">
        <v>80</v>
      </c>
      <c r="B2" s="26">
        <v>74071</v>
      </c>
      <c r="C2" s="2" t="s">
        <v>9</v>
      </c>
      <c r="D2" s="28">
        <v>2105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9"/>
      <c r="P2" s="30">
        <f t="shared" ref="P2:P26" si="0">SUM(D2:O2)</f>
        <v>2105</v>
      </c>
      <c r="Q2" s="10"/>
    </row>
    <row r="3" spans="1:17" s="11" customFormat="1">
      <c r="A3" s="26" t="s">
        <v>162</v>
      </c>
      <c r="B3" s="26" t="s">
        <v>163</v>
      </c>
      <c r="C3" s="2" t="s">
        <v>9</v>
      </c>
      <c r="D3" s="43">
        <v>1640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30">
        <f t="shared" si="0"/>
        <v>1640</v>
      </c>
      <c r="Q3" s="10"/>
    </row>
    <row r="4" spans="1:17" s="11" customFormat="1">
      <c r="A4" s="27" t="s">
        <v>164</v>
      </c>
      <c r="B4" s="26" t="s">
        <v>165</v>
      </c>
      <c r="C4" s="2" t="s">
        <v>9</v>
      </c>
      <c r="D4" s="45">
        <v>5120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30">
        <f t="shared" si="0"/>
        <v>5120</v>
      </c>
      <c r="Q4" s="10"/>
    </row>
    <row r="5" spans="1:17" s="11" customFormat="1">
      <c r="A5" s="27" t="s">
        <v>153</v>
      </c>
      <c r="B5" s="26"/>
      <c r="C5" s="2" t="s">
        <v>9</v>
      </c>
      <c r="D5" s="45"/>
      <c r="E5" s="46"/>
      <c r="F5" s="46"/>
      <c r="G5" s="46"/>
      <c r="H5" s="46"/>
      <c r="I5" s="46"/>
      <c r="J5" s="46">
        <v>17050</v>
      </c>
      <c r="K5" s="46"/>
      <c r="L5" s="46"/>
      <c r="M5" s="46"/>
      <c r="N5" s="46"/>
      <c r="O5" s="46"/>
      <c r="P5" s="30">
        <f t="shared" si="0"/>
        <v>17050</v>
      </c>
      <c r="Q5" s="10"/>
    </row>
    <row r="6" spans="1:17" s="11" customFormat="1">
      <c r="A6" s="2" t="s">
        <v>166</v>
      </c>
      <c r="B6" s="26"/>
      <c r="C6" s="2" t="s">
        <v>9</v>
      </c>
      <c r="D6" s="29"/>
      <c r="E6" s="60"/>
      <c r="F6" s="29"/>
      <c r="G6" s="29"/>
      <c r="H6" s="29"/>
      <c r="I6" s="29"/>
      <c r="J6" s="29">
        <v>450</v>
      </c>
      <c r="K6" s="29"/>
      <c r="L6" s="29"/>
      <c r="M6" s="29"/>
      <c r="N6" s="29"/>
      <c r="O6" s="46"/>
      <c r="P6" s="30">
        <f>SUM(D6:N6)</f>
        <v>450</v>
      </c>
      <c r="Q6" s="10"/>
    </row>
    <row r="7" spans="1:17" s="11" customFormat="1" ht="18" customHeight="1">
      <c r="A7" s="42" t="s">
        <v>167</v>
      </c>
      <c r="B7" s="26"/>
      <c r="C7" s="2" t="s">
        <v>10</v>
      </c>
      <c r="D7" s="45"/>
      <c r="E7" s="46"/>
      <c r="F7" s="46"/>
      <c r="G7" s="46"/>
      <c r="H7" s="69"/>
      <c r="I7" s="46"/>
      <c r="J7" s="46">
        <v>200</v>
      </c>
      <c r="K7" s="46"/>
      <c r="L7" s="46"/>
      <c r="M7" s="46"/>
      <c r="N7" s="46"/>
      <c r="O7" s="46"/>
      <c r="P7" s="30">
        <f t="shared" si="0"/>
        <v>200</v>
      </c>
      <c r="Q7" s="10"/>
    </row>
    <row r="8" spans="1:17" s="11" customFormat="1" ht="16.5" customHeight="1">
      <c r="A8" s="42" t="s">
        <v>168</v>
      </c>
      <c r="B8" s="26"/>
      <c r="C8" s="2" t="s">
        <v>10</v>
      </c>
      <c r="D8" s="45"/>
      <c r="E8" s="46"/>
      <c r="F8" s="46"/>
      <c r="G8" s="46"/>
      <c r="H8" s="46"/>
      <c r="I8" s="46"/>
      <c r="J8" s="46">
        <v>6400</v>
      </c>
      <c r="K8" s="46"/>
      <c r="L8" s="46"/>
      <c r="M8" s="46"/>
      <c r="N8" s="70"/>
      <c r="O8" s="46"/>
      <c r="P8" s="30">
        <f t="shared" si="0"/>
        <v>6400</v>
      </c>
      <c r="Q8" s="10"/>
    </row>
    <row r="9" spans="1:17" s="11" customFormat="1" ht="15.95" customHeight="1">
      <c r="A9" s="42" t="s">
        <v>169</v>
      </c>
      <c r="B9" s="26"/>
      <c r="C9" s="2" t="s">
        <v>10</v>
      </c>
      <c r="D9" s="45"/>
      <c r="E9" s="46"/>
      <c r="F9" s="46"/>
      <c r="G9" s="69"/>
      <c r="H9" s="69"/>
      <c r="I9" s="46">
        <v>910</v>
      </c>
      <c r="J9" s="46"/>
      <c r="K9" s="46"/>
      <c r="L9" s="46"/>
      <c r="M9" s="46"/>
      <c r="N9" s="69"/>
      <c r="O9" s="46"/>
      <c r="P9" s="30">
        <f t="shared" si="0"/>
        <v>910</v>
      </c>
      <c r="Q9" s="10"/>
    </row>
    <row r="10" spans="1:17" s="11" customFormat="1" ht="15.95" customHeight="1">
      <c r="A10" s="42" t="s">
        <v>170</v>
      </c>
      <c r="B10" s="26"/>
      <c r="C10" s="2" t="s">
        <v>9</v>
      </c>
      <c r="D10" s="66"/>
      <c r="E10" s="61"/>
      <c r="F10" s="61"/>
      <c r="G10" s="46"/>
      <c r="H10" s="46"/>
      <c r="I10" s="46"/>
      <c r="J10" s="46">
        <v>1200</v>
      </c>
      <c r="K10" s="46"/>
      <c r="L10" s="46"/>
      <c r="M10" s="69"/>
      <c r="N10" s="46"/>
      <c r="O10" s="46"/>
      <c r="P10" s="30">
        <f t="shared" si="0"/>
        <v>1200</v>
      </c>
      <c r="Q10" s="10"/>
    </row>
    <row r="11" spans="1:17" s="11" customFormat="1" ht="15.95" customHeight="1">
      <c r="A11" s="42" t="s">
        <v>171</v>
      </c>
      <c r="B11" s="26"/>
      <c r="C11" s="2" t="s">
        <v>10</v>
      </c>
      <c r="D11" s="66"/>
      <c r="E11" s="61"/>
      <c r="F11" s="61"/>
      <c r="G11" s="46"/>
      <c r="H11" s="46"/>
      <c r="I11" s="46"/>
      <c r="J11" s="46">
        <v>1390</v>
      </c>
      <c r="K11" s="46"/>
      <c r="L11" s="46"/>
      <c r="M11" s="46"/>
      <c r="N11" s="46"/>
      <c r="O11" s="46"/>
      <c r="P11" s="30">
        <f t="shared" si="0"/>
        <v>1390</v>
      </c>
      <c r="Q11" s="10"/>
    </row>
    <row r="12" spans="1:17" s="11" customFormat="1" ht="15.95" customHeight="1">
      <c r="A12" s="42" t="s">
        <v>68</v>
      </c>
      <c r="B12" s="26"/>
      <c r="C12" s="2" t="s">
        <v>10</v>
      </c>
      <c r="D12" s="66"/>
      <c r="E12" s="61">
        <v>9577</v>
      </c>
      <c r="F12" s="61"/>
      <c r="G12" s="46">
        <v>4075</v>
      </c>
      <c r="H12" s="46"/>
      <c r="I12" s="46"/>
      <c r="J12" s="46">
        <v>1440</v>
      </c>
      <c r="K12" s="46"/>
      <c r="L12" s="46"/>
      <c r="M12" s="46"/>
      <c r="N12" s="46">
        <v>4005</v>
      </c>
      <c r="O12" s="46">
        <v>11230</v>
      </c>
      <c r="P12" s="30">
        <f t="shared" si="0"/>
        <v>30327</v>
      </c>
      <c r="Q12" s="10"/>
    </row>
    <row r="13" spans="1:17" s="11" customFormat="1" ht="17.100000000000001" customHeight="1">
      <c r="A13" s="27" t="s">
        <v>172</v>
      </c>
      <c r="B13" s="26"/>
      <c r="C13" s="2" t="s">
        <v>10</v>
      </c>
      <c r="D13" s="66"/>
      <c r="E13" s="61"/>
      <c r="F13" s="61"/>
      <c r="G13" s="46"/>
      <c r="H13" s="46"/>
      <c r="I13" s="46"/>
      <c r="J13" s="46">
        <v>418</v>
      </c>
      <c r="K13" s="46"/>
      <c r="L13" s="46"/>
      <c r="M13" s="46"/>
      <c r="N13" s="46"/>
      <c r="O13" s="46"/>
      <c r="P13" s="30">
        <f t="shared" si="0"/>
        <v>418</v>
      </c>
      <c r="Q13" s="10"/>
    </row>
    <row r="14" spans="1:17" s="11" customFormat="1">
      <c r="A14" s="27" t="s">
        <v>173</v>
      </c>
      <c r="B14" s="26"/>
      <c r="C14" s="2" t="s">
        <v>10</v>
      </c>
      <c r="D14" s="66">
        <v>592.1</v>
      </c>
      <c r="E14" s="61">
        <v>783.6</v>
      </c>
      <c r="F14" s="61"/>
      <c r="G14" s="46"/>
      <c r="H14" s="46"/>
      <c r="I14" s="46"/>
      <c r="J14" s="46"/>
      <c r="K14" s="46"/>
      <c r="L14" s="46">
        <v>327.75</v>
      </c>
      <c r="M14" s="46">
        <v>312.89999999999998</v>
      </c>
      <c r="N14" s="46"/>
      <c r="O14" s="46"/>
      <c r="P14" s="30">
        <f t="shared" si="0"/>
        <v>2016.35</v>
      </c>
      <c r="Q14" s="10"/>
    </row>
    <row r="15" spans="1:17" s="11" customFormat="1">
      <c r="A15" s="27" t="s">
        <v>174</v>
      </c>
      <c r="B15" s="26"/>
      <c r="C15" s="2" t="s">
        <v>10</v>
      </c>
      <c r="D15" s="66"/>
      <c r="E15" s="61"/>
      <c r="F15" s="61"/>
      <c r="G15" s="46"/>
      <c r="H15" s="46"/>
      <c r="I15" s="46"/>
      <c r="J15" s="46">
        <v>21627</v>
      </c>
      <c r="K15" s="46"/>
      <c r="L15" s="46"/>
      <c r="M15" s="46">
        <v>4880</v>
      </c>
      <c r="N15" s="46"/>
      <c r="O15" s="46"/>
      <c r="P15" s="30">
        <f t="shared" si="0"/>
        <v>26507</v>
      </c>
      <c r="Q15" s="10"/>
    </row>
    <row r="16" spans="1:17" s="11" customFormat="1">
      <c r="A16" s="27" t="s">
        <v>175</v>
      </c>
      <c r="B16" s="26"/>
      <c r="C16" s="2" t="s">
        <v>10</v>
      </c>
      <c r="D16" s="66"/>
      <c r="E16" s="61"/>
      <c r="F16" s="61"/>
      <c r="G16" s="46"/>
      <c r="H16" s="46"/>
      <c r="I16" s="46"/>
      <c r="J16" s="46"/>
      <c r="K16" s="46"/>
      <c r="L16" s="46">
        <v>5950</v>
      </c>
      <c r="M16" s="46"/>
      <c r="N16" s="46"/>
      <c r="O16" s="46"/>
      <c r="P16" s="30">
        <f t="shared" si="0"/>
        <v>5950</v>
      </c>
      <c r="Q16" s="10"/>
    </row>
    <row r="17" spans="1:18" s="11" customFormat="1" ht="16.5">
      <c r="A17" s="27" t="s">
        <v>176</v>
      </c>
      <c r="B17" s="26"/>
      <c r="C17" s="2" t="s">
        <v>9</v>
      </c>
      <c r="D17" s="66"/>
      <c r="E17" s="61"/>
      <c r="F17" s="61"/>
      <c r="G17" s="46"/>
      <c r="H17" s="46"/>
      <c r="I17" s="46"/>
      <c r="J17" s="46"/>
      <c r="K17" s="46"/>
      <c r="L17" s="46">
        <v>2800</v>
      </c>
      <c r="M17" s="46"/>
      <c r="N17" s="46"/>
      <c r="O17" s="46"/>
      <c r="P17" s="30">
        <f t="shared" si="0"/>
        <v>2800</v>
      </c>
      <c r="Q17" s="10"/>
    </row>
    <row r="18" spans="1:18" s="11" customFormat="1">
      <c r="A18" s="27" t="s">
        <v>157</v>
      </c>
      <c r="B18" s="26"/>
      <c r="C18" s="2" t="s">
        <v>10</v>
      </c>
      <c r="D18" s="66"/>
      <c r="E18" s="61"/>
      <c r="F18" s="61"/>
      <c r="G18" s="46"/>
      <c r="H18" s="46"/>
      <c r="I18" s="46"/>
      <c r="J18" s="46"/>
      <c r="K18" s="46">
        <v>187.2</v>
      </c>
      <c r="L18" s="46"/>
      <c r="M18" s="46"/>
      <c r="N18" s="46"/>
      <c r="O18" s="46"/>
      <c r="P18" s="30">
        <f t="shared" si="0"/>
        <v>187.2</v>
      </c>
      <c r="Q18" s="10"/>
    </row>
    <row r="19" spans="1:18" s="11" customFormat="1">
      <c r="A19" s="27" t="s">
        <v>177</v>
      </c>
      <c r="B19" s="26"/>
      <c r="C19" s="2" t="s">
        <v>10</v>
      </c>
      <c r="D19" s="66"/>
      <c r="E19" s="61"/>
      <c r="F19" s="61"/>
      <c r="G19" s="46"/>
      <c r="H19" s="46"/>
      <c r="I19" s="46"/>
      <c r="J19" s="46"/>
      <c r="K19" s="46">
        <v>5000</v>
      </c>
      <c r="L19" s="46"/>
      <c r="M19" s="46"/>
      <c r="N19" s="46"/>
      <c r="O19" s="46"/>
      <c r="P19" s="30">
        <f t="shared" si="0"/>
        <v>5000</v>
      </c>
      <c r="Q19" s="10"/>
    </row>
    <row r="20" spans="1:18" s="11" customFormat="1" ht="16.5">
      <c r="A20" s="27" t="s">
        <v>178</v>
      </c>
      <c r="B20" s="26"/>
      <c r="C20" s="2" t="s">
        <v>10</v>
      </c>
      <c r="D20" s="66"/>
      <c r="E20" s="61"/>
      <c r="F20" s="61"/>
      <c r="G20" s="46"/>
      <c r="H20" s="46"/>
      <c r="I20" s="46"/>
      <c r="J20" s="46"/>
      <c r="K20" s="46"/>
      <c r="L20" s="46"/>
      <c r="M20" s="46">
        <v>2235</v>
      </c>
      <c r="N20" s="46"/>
      <c r="O20" s="46"/>
      <c r="P20" s="30">
        <f t="shared" si="0"/>
        <v>2235</v>
      </c>
      <c r="Q20" s="10"/>
    </row>
    <row r="21" spans="1:18" s="11" customFormat="1">
      <c r="A21" s="2" t="s">
        <v>179</v>
      </c>
      <c r="B21" s="26"/>
      <c r="C21" s="2" t="s">
        <v>10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>
        <v>2795</v>
      </c>
      <c r="O21" s="29">
        <v>4800</v>
      </c>
      <c r="P21" s="30">
        <f t="shared" si="0"/>
        <v>7595</v>
      </c>
      <c r="Q21" s="10"/>
    </row>
    <row r="22" spans="1:18" s="11" customFormat="1">
      <c r="A22" s="77" t="s">
        <v>180</v>
      </c>
      <c r="B22" s="26"/>
      <c r="C22" s="2" t="s">
        <v>9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>
        <v>10000</v>
      </c>
      <c r="O22" s="29"/>
      <c r="P22" s="30">
        <f t="shared" si="0"/>
        <v>10000</v>
      </c>
      <c r="Q22" s="10"/>
    </row>
    <row r="23" spans="1:18" s="11" customFormat="1">
      <c r="A23" s="77" t="s">
        <v>181</v>
      </c>
      <c r="B23" s="26"/>
      <c r="C23" s="2" t="s">
        <v>10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>
        <v>5250</v>
      </c>
      <c r="O23" s="29"/>
      <c r="P23" s="30">
        <f t="shared" si="0"/>
        <v>5250</v>
      </c>
      <c r="Q23" s="10"/>
    </row>
    <row r="24" spans="1:18" s="11" customFormat="1">
      <c r="A24" s="2" t="s">
        <v>182</v>
      </c>
      <c r="B24" s="26"/>
      <c r="C24" s="2" t="s">
        <v>10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>
        <v>1750</v>
      </c>
      <c r="P24" s="30">
        <f t="shared" si="0"/>
        <v>1750</v>
      </c>
      <c r="Q24" s="10"/>
    </row>
    <row r="25" spans="1:18" s="11" customFormat="1">
      <c r="A25" s="2" t="s">
        <v>183</v>
      </c>
      <c r="B25" s="26"/>
      <c r="C25" s="2" t="s">
        <v>10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>
        <v>1440</v>
      </c>
      <c r="P25" s="30">
        <f t="shared" si="0"/>
        <v>1440</v>
      </c>
      <c r="Q25" s="10"/>
    </row>
    <row r="26" spans="1:18" s="11" customFormat="1">
      <c r="A26" s="2"/>
      <c r="B26" s="73"/>
      <c r="C26" s="2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>
        <f t="shared" si="0"/>
        <v>0</v>
      </c>
      <c r="Q26" s="10"/>
    </row>
    <row r="27" spans="1:18" s="14" customFormat="1" ht="20.100000000000001" customHeight="1">
      <c r="A27" s="82" t="s">
        <v>62</v>
      </c>
      <c r="B27" s="82"/>
      <c r="C27" s="83"/>
      <c r="D27" s="33">
        <f t="shared" ref="D27:P27" si="1">SUM(D2:D26)</f>
        <v>9457.1</v>
      </c>
      <c r="E27" s="33">
        <f t="shared" si="1"/>
        <v>10360.6</v>
      </c>
      <c r="F27" s="33">
        <f t="shared" si="1"/>
        <v>0</v>
      </c>
      <c r="G27" s="33">
        <f t="shared" si="1"/>
        <v>4075</v>
      </c>
      <c r="H27" s="33">
        <f t="shared" si="1"/>
        <v>0</v>
      </c>
      <c r="I27" s="33">
        <f t="shared" si="1"/>
        <v>910</v>
      </c>
      <c r="J27" s="33">
        <f t="shared" si="1"/>
        <v>50175</v>
      </c>
      <c r="K27" s="33">
        <f t="shared" si="1"/>
        <v>5187.2</v>
      </c>
      <c r="L27" s="33">
        <f t="shared" si="1"/>
        <v>9077.75</v>
      </c>
      <c r="M27" s="33">
        <f t="shared" si="1"/>
        <v>7427.9</v>
      </c>
      <c r="N27" s="33">
        <f t="shared" si="1"/>
        <v>22050</v>
      </c>
      <c r="O27" s="33">
        <f t="shared" si="1"/>
        <v>19220</v>
      </c>
      <c r="P27" s="33">
        <f t="shared" si="1"/>
        <v>137940.54999999999</v>
      </c>
      <c r="Q27" s="13"/>
    </row>
    <row r="28" spans="1:18" s="14" customFormat="1" ht="3.95" customHeight="1">
      <c r="A28" s="4"/>
      <c r="B28" s="4"/>
      <c r="C28" s="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5"/>
      <c r="Q28" s="15"/>
    </row>
    <row r="29" spans="1:18" s="14" customFormat="1" ht="20.100000000000001" customHeight="1">
      <c r="A29" s="16" t="s">
        <v>63</v>
      </c>
      <c r="B29" s="16"/>
      <c r="C29" s="16" t="s">
        <v>64</v>
      </c>
      <c r="D29" s="36">
        <f t="shared" ref="D29:O29" si="2">SUMIF($C1:$C24,"=Cruz",D1:D24)</f>
        <v>592.1</v>
      </c>
      <c r="E29" s="36">
        <f t="shared" si="2"/>
        <v>10360.6</v>
      </c>
      <c r="F29" s="36">
        <f t="shared" si="2"/>
        <v>0</v>
      </c>
      <c r="G29" s="36">
        <f t="shared" si="2"/>
        <v>4075</v>
      </c>
      <c r="H29" s="36">
        <f t="shared" si="2"/>
        <v>0</v>
      </c>
      <c r="I29" s="36">
        <f t="shared" si="2"/>
        <v>910</v>
      </c>
      <c r="J29" s="36">
        <f t="shared" si="2"/>
        <v>31475</v>
      </c>
      <c r="K29" s="36">
        <f t="shared" si="2"/>
        <v>5187.2</v>
      </c>
      <c r="L29" s="36">
        <f t="shared" si="2"/>
        <v>6277.75</v>
      </c>
      <c r="M29" s="36">
        <f t="shared" si="2"/>
        <v>7427.9</v>
      </c>
      <c r="N29" s="36">
        <f t="shared" si="2"/>
        <v>12050</v>
      </c>
      <c r="O29" s="36">
        <f t="shared" si="2"/>
        <v>17780</v>
      </c>
      <c r="P29" s="36">
        <f>SUMIF($C1:$C26,"=Cruz",P1:P26)</f>
        <v>97575.55</v>
      </c>
      <c r="Q29" s="17"/>
    </row>
    <row r="30" spans="1:18" s="14" customFormat="1" ht="3.95" customHeight="1">
      <c r="A30" s="4"/>
      <c r="B30" s="4"/>
      <c r="C30" s="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7"/>
      <c r="Q30" s="15"/>
    </row>
    <row r="31" spans="1:18" s="14" customFormat="1" ht="20.100000000000001" customHeight="1">
      <c r="A31" s="18" t="s">
        <v>63</v>
      </c>
      <c r="B31" s="18"/>
      <c r="C31" s="18" t="s">
        <v>9</v>
      </c>
      <c r="D31" s="38">
        <f t="shared" ref="D31:O31" si="3">SUMIF($C1:$C24,"=Douglas",D1:D24)</f>
        <v>8865</v>
      </c>
      <c r="E31" s="38">
        <f t="shared" si="3"/>
        <v>0</v>
      </c>
      <c r="F31" s="38">
        <f t="shared" si="3"/>
        <v>0</v>
      </c>
      <c r="G31" s="38">
        <f t="shared" si="3"/>
        <v>0</v>
      </c>
      <c r="H31" s="38">
        <f t="shared" si="3"/>
        <v>0</v>
      </c>
      <c r="I31" s="38">
        <f t="shared" si="3"/>
        <v>0</v>
      </c>
      <c r="J31" s="38">
        <f t="shared" si="3"/>
        <v>18700</v>
      </c>
      <c r="K31" s="38">
        <f t="shared" si="3"/>
        <v>0</v>
      </c>
      <c r="L31" s="38">
        <f t="shared" si="3"/>
        <v>2800</v>
      </c>
      <c r="M31" s="38">
        <f t="shared" si="3"/>
        <v>0</v>
      </c>
      <c r="N31" s="38">
        <f t="shared" si="3"/>
        <v>10000</v>
      </c>
      <c r="O31" s="38">
        <f t="shared" si="3"/>
        <v>0</v>
      </c>
      <c r="P31" s="38">
        <f>SUMIF($C1:$C26,"=Douglas",P1:P26)</f>
        <v>40365</v>
      </c>
      <c r="Q31" s="17"/>
      <c r="R31" s="25"/>
    </row>
    <row r="32" spans="1:18" s="23" customFormat="1" ht="5.0999999999999996" customHeight="1">
      <c r="A32" s="19"/>
      <c r="B32" s="19"/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1"/>
      <c r="Q32" s="22"/>
      <c r="R32" s="25"/>
    </row>
    <row r="33" spans="3:16">
      <c r="P33" s="41"/>
    </row>
    <row r="34" spans="3:16">
      <c r="C34" s="39"/>
      <c r="D34" s="40"/>
      <c r="P34" s="41"/>
    </row>
  </sheetData>
  <mergeCells count="1">
    <mergeCell ref="A27:C27"/>
  </mergeCells>
  <pageMargins left="0.51181102362204722" right="0.51181102362204722" top="0.78740157480314965" bottom="0.78740157480314965" header="0.31496062992125984" footer="0.31496062992125984"/>
  <pageSetup paperSize="9" scale="47" orientation="landscape" r:id="rId1"/>
  <headerFooter scaleWithDoc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Douglas" xr:uid="{8ADBAA1E-9392-47E3-9B98-B1A001A9FCA0}">
          <x14:formula1>
            <xm:f>Nomes!$A$2:$A$3</xm:f>
          </x14:formula1>
          <xm:sqref>C2:C26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9D50-DA75-4921-8E85-16D78E80D287}">
  <sheetPr>
    <outlinePr showOutlineSymbols="0"/>
    <pageSetUpPr fitToPage="1"/>
  </sheetPr>
  <dimension ref="A1:Q75"/>
  <sheetViews>
    <sheetView showGridLines="0" showZeros="0" showOutlineSymbols="0" defaultGridColor="0" view="pageBreakPreview" topLeftCell="B1" colorId="9" zoomScaleNormal="60" zoomScaleSheetLayoutView="100" workbookViewId="0">
      <pane ySplit="1" topLeftCell="I51" activePane="bottomLeft" state="frozen"/>
      <selection pane="bottomLeft" activeCell="N30" sqref="N30"/>
    </sheetView>
  </sheetViews>
  <sheetFormatPr defaultColWidth="8.875" defaultRowHeight="15.6"/>
  <cols>
    <col min="1" max="1" width="42.875" customWidth="1"/>
    <col min="2" max="2" width="19.625" customWidth="1"/>
    <col min="3" max="3" width="18.5" customWidth="1"/>
    <col min="4" max="4" width="15.5" customWidth="1"/>
    <col min="5" max="5" width="13.875" bestFit="1" customWidth="1"/>
    <col min="6" max="6" width="16.75" customWidth="1"/>
    <col min="7" max="7" width="13.5" customWidth="1"/>
    <col min="8" max="8" width="12.625" bestFit="1" customWidth="1"/>
    <col min="9" max="10" width="13.5" bestFit="1" customWidth="1"/>
    <col min="11" max="11" width="13.875" style="24" bestFit="1" customWidth="1"/>
    <col min="12" max="12" width="13.5" style="24" bestFit="1" customWidth="1"/>
    <col min="13" max="13" width="15" style="24" customWidth="1"/>
    <col min="14" max="14" width="13.875" style="24" bestFit="1" customWidth="1"/>
    <col min="15" max="15" width="14.75" style="24" customWidth="1"/>
    <col min="16" max="16" width="19.625" style="24" bestFit="1" customWidth="1"/>
    <col min="17" max="17" width="0.125" customWidth="1"/>
    <col min="18" max="18" width="15" style="25" customWidth="1"/>
    <col min="19" max="16384" width="8.875" style="25"/>
  </cols>
  <sheetData>
    <row r="1" spans="1:17" s="9" customFormat="1" ht="20.100000000000001" customHeight="1">
      <c r="A1" s="5" t="s">
        <v>14</v>
      </c>
      <c r="B1" s="5" t="s">
        <v>161</v>
      </c>
      <c r="C1" s="79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7" t="s">
        <v>28</v>
      </c>
      <c r="Q1" s="8"/>
    </row>
    <row r="2" spans="1:17" s="11" customFormat="1">
      <c r="A2" s="2" t="s">
        <v>68</v>
      </c>
      <c r="B2" s="26"/>
      <c r="C2" s="52" t="s">
        <v>10</v>
      </c>
      <c r="D2" s="29">
        <v>5179</v>
      </c>
      <c r="E2" s="29"/>
      <c r="F2" s="29">
        <v>875</v>
      </c>
      <c r="G2" s="29"/>
      <c r="H2" s="29"/>
      <c r="I2" s="53"/>
      <c r="J2" s="29"/>
      <c r="K2" s="29"/>
      <c r="L2" s="29"/>
      <c r="M2" s="46"/>
      <c r="N2" s="46"/>
      <c r="O2" s="46"/>
      <c r="P2" s="30">
        <f>SUM(D2:O2)</f>
        <v>6054</v>
      </c>
      <c r="Q2" s="10"/>
    </row>
    <row r="3" spans="1:17" s="11" customFormat="1">
      <c r="A3" s="2" t="s">
        <v>184</v>
      </c>
      <c r="B3" s="26"/>
      <c r="C3" s="52" t="s">
        <v>10</v>
      </c>
      <c r="D3" s="29">
        <v>3258</v>
      </c>
      <c r="E3" s="29">
        <v>1232</v>
      </c>
      <c r="F3" s="29"/>
      <c r="G3" s="29"/>
      <c r="H3" s="29"/>
      <c r="I3" s="29"/>
      <c r="J3" s="53"/>
      <c r="K3" s="29"/>
      <c r="L3" s="29"/>
      <c r="M3" s="46"/>
      <c r="N3" s="46"/>
      <c r="O3" s="46"/>
      <c r="P3" s="30">
        <f t="shared" ref="P3:P43" si="0">SUM(D3:O3)</f>
        <v>4490</v>
      </c>
      <c r="Q3" s="10"/>
    </row>
    <row r="4" spans="1:17" s="11" customFormat="1">
      <c r="A4" s="2" t="s">
        <v>185</v>
      </c>
      <c r="B4" s="26"/>
      <c r="C4" s="2" t="s">
        <v>10</v>
      </c>
      <c r="D4" s="29"/>
      <c r="E4" s="29"/>
      <c r="F4" s="29">
        <v>260</v>
      </c>
      <c r="G4" s="29"/>
      <c r="H4" s="29"/>
      <c r="I4" s="29"/>
      <c r="J4" s="29"/>
      <c r="K4" s="29"/>
      <c r="L4" s="29"/>
      <c r="M4" s="46"/>
      <c r="N4" s="46"/>
      <c r="O4" s="46"/>
      <c r="P4" s="30">
        <f t="shared" si="0"/>
        <v>260</v>
      </c>
      <c r="Q4" s="10"/>
    </row>
    <row r="5" spans="1:17" s="11" customFormat="1">
      <c r="A5" s="2" t="s">
        <v>186</v>
      </c>
      <c r="B5" s="26"/>
      <c r="C5" s="2" t="s">
        <v>10</v>
      </c>
      <c r="D5" s="29"/>
      <c r="E5" s="29"/>
      <c r="F5" s="29">
        <v>1026</v>
      </c>
      <c r="G5" s="29"/>
      <c r="H5" s="29"/>
      <c r="I5" s="29"/>
      <c r="J5" s="29"/>
      <c r="K5" s="29"/>
      <c r="L5" s="29"/>
      <c r="M5" s="46"/>
      <c r="N5" s="46"/>
      <c r="O5" s="46"/>
      <c r="P5" s="30">
        <f t="shared" si="0"/>
        <v>1026</v>
      </c>
      <c r="Q5" s="10"/>
    </row>
    <row r="6" spans="1:17" s="11" customFormat="1">
      <c r="A6" s="2" t="s">
        <v>187</v>
      </c>
      <c r="B6" s="26"/>
      <c r="C6" s="2" t="s">
        <v>10</v>
      </c>
      <c r="D6" s="29"/>
      <c r="E6" s="29"/>
      <c r="F6" s="29"/>
      <c r="G6" s="29">
        <v>2730</v>
      </c>
      <c r="H6" s="29"/>
      <c r="I6" s="29"/>
      <c r="J6" s="53"/>
      <c r="K6" s="29"/>
      <c r="L6" s="53"/>
      <c r="M6" s="46"/>
      <c r="N6" s="46"/>
      <c r="O6" s="46"/>
      <c r="P6" s="30">
        <f t="shared" si="0"/>
        <v>2730</v>
      </c>
      <c r="Q6" s="10"/>
    </row>
    <row r="7" spans="1:17" s="11" customFormat="1">
      <c r="A7" s="2" t="s">
        <v>188</v>
      </c>
      <c r="B7" s="26"/>
      <c r="C7" s="2" t="s">
        <v>10</v>
      </c>
      <c r="D7" s="29"/>
      <c r="E7" s="29"/>
      <c r="F7" s="29"/>
      <c r="G7" s="29"/>
      <c r="H7" s="29">
        <v>840</v>
      </c>
      <c r="I7" s="29"/>
      <c r="J7" s="53"/>
      <c r="K7" s="29"/>
      <c r="L7" s="29"/>
      <c r="M7" s="29"/>
      <c r="N7" s="29"/>
      <c r="O7" s="29"/>
      <c r="P7" s="30">
        <f t="shared" si="0"/>
        <v>840</v>
      </c>
      <c r="Q7" s="10"/>
    </row>
    <row r="8" spans="1:17" s="11" customFormat="1">
      <c r="A8" s="2" t="s">
        <v>189</v>
      </c>
      <c r="B8" s="26"/>
      <c r="C8" s="2" t="s">
        <v>10</v>
      </c>
      <c r="D8" s="29"/>
      <c r="E8" s="29"/>
      <c r="F8" s="29"/>
      <c r="G8" s="29"/>
      <c r="H8" s="29">
        <v>770</v>
      </c>
      <c r="I8" s="29"/>
      <c r="J8" s="29"/>
      <c r="K8" s="29"/>
      <c r="L8" s="29"/>
      <c r="M8" s="29"/>
      <c r="N8" s="29"/>
      <c r="O8" s="29"/>
      <c r="P8" s="30">
        <f t="shared" si="0"/>
        <v>770</v>
      </c>
      <c r="Q8" s="10"/>
    </row>
    <row r="9" spans="1:17" s="11" customFormat="1">
      <c r="A9" s="2" t="s">
        <v>190</v>
      </c>
      <c r="B9" s="26"/>
      <c r="C9" s="2" t="s">
        <v>10</v>
      </c>
      <c r="D9" s="29"/>
      <c r="E9" s="29"/>
      <c r="F9" s="29">
        <v>925</v>
      </c>
      <c r="G9" s="29"/>
      <c r="H9" s="29"/>
      <c r="I9" s="29"/>
      <c r="J9" s="29"/>
      <c r="K9" s="29"/>
      <c r="L9" s="29"/>
      <c r="M9" s="29"/>
      <c r="N9" s="29"/>
      <c r="O9" s="29"/>
      <c r="P9" s="30">
        <f t="shared" si="0"/>
        <v>925</v>
      </c>
      <c r="Q9" s="10"/>
    </row>
    <row r="10" spans="1:17" s="11" customFormat="1">
      <c r="A10" s="2" t="s">
        <v>164</v>
      </c>
      <c r="B10" s="26"/>
      <c r="C10" s="52" t="s">
        <v>9</v>
      </c>
      <c r="D10" s="29"/>
      <c r="E10" s="29"/>
      <c r="F10" s="29">
        <v>5890</v>
      </c>
      <c r="G10" s="29"/>
      <c r="H10" s="29"/>
      <c r="I10" s="29"/>
      <c r="J10" s="29"/>
      <c r="K10" s="29"/>
      <c r="L10" s="29"/>
      <c r="M10" s="29"/>
      <c r="N10" s="29"/>
      <c r="O10" s="29"/>
      <c r="P10" s="30">
        <f t="shared" si="0"/>
        <v>5890</v>
      </c>
      <c r="Q10" s="10"/>
    </row>
    <row r="11" spans="1:17" s="11" customFormat="1">
      <c r="A11" s="2" t="s">
        <v>68</v>
      </c>
      <c r="B11" s="26"/>
      <c r="C11" s="52" t="s">
        <v>10</v>
      </c>
      <c r="D11" s="29"/>
      <c r="E11" s="29"/>
      <c r="F11" s="29">
        <v>395</v>
      </c>
      <c r="G11" s="29"/>
      <c r="H11" s="29"/>
      <c r="I11" s="29"/>
      <c r="J11" s="29"/>
      <c r="K11" s="29"/>
      <c r="L11" s="29"/>
      <c r="M11" s="29"/>
      <c r="N11" s="29"/>
      <c r="O11" s="29"/>
      <c r="P11" s="30">
        <f t="shared" si="0"/>
        <v>395</v>
      </c>
      <c r="Q11" s="10"/>
    </row>
    <row r="12" spans="1:17" s="11" customFormat="1">
      <c r="A12" s="2" t="s">
        <v>191</v>
      </c>
      <c r="B12" s="26"/>
      <c r="C12" s="52" t="s">
        <v>10</v>
      </c>
      <c r="D12" s="29"/>
      <c r="E12" s="29"/>
      <c r="F12" s="29"/>
      <c r="G12" s="29"/>
      <c r="H12" s="29">
        <v>3060</v>
      </c>
      <c r="I12" s="29"/>
      <c r="J12" s="29"/>
      <c r="K12" s="29"/>
      <c r="L12" s="29"/>
      <c r="M12" s="29"/>
      <c r="N12" s="29"/>
      <c r="O12" s="29"/>
      <c r="P12" s="30">
        <f t="shared" si="0"/>
        <v>3060</v>
      </c>
      <c r="Q12" s="10"/>
    </row>
    <row r="13" spans="1:17" s="11" customFormat="1">
      <c r="A13" s="2" t="s">
        <v>153</v>
      </c>
      <c r="B13" s="26"/>
      <c r="C13" s="52" t="s">
        <v>9</v>
      </c>
      <c r="D13" s="29"/>
      <c r="E13" s="29"/>
      <c r="F13" s="29"/>
      <c r="G13" s="29"/>
      <c r="H13" s="29"/>
      <c r="I13" s="29"/>
      <c r="J13" s="29"/>
      <c r="K13" s="29">
        <v>7800</v>
      </c>
      <c r="L13" s="29"/>
      <c r="M13" s="29"/>
      <c r="N13" s="29"/>
      <c r="O13" s="29"/>
      <c r="P13" s="30">
        <f t="shared" si="0"/>
        <v>7800</v>
      </c>
      <c r="Q13" s="10"/>
    </row>
    <row r="14" spans="1:17" s="11" customFormat="1">
      <c r="A14" s="2" t="s">
        <v>192</v>
      </c>
      <c r="B14" s="26"/>
      <c r="C14" s="52" t="s">
        <v>10</v>
      </c>
      <c r="D14" s="29"/>
      <c r="E14" s="29"/>
      <c r="F14" s="29"/>
      <c r="G14" s="29"/>
      <c r="H14" s="29"/>
      <c r="I14" s="29"/>
      <c r="J14" s="29"/>
      <c r="K14" s="29">
        <v>1530</v>
      </c>
      <c r="L14" s="29"/>
      <c r="M14" s="29"/>
      <c r="N14" s="29"/>
      <c r="O14" s="29"/>
      <c r="P14" s="30">
        <f t="shared" si="0"/>
        <v>1530</v>
      </c>
      <c r="Q14" s="10"/>
    </row>
    <row r="15" spans="1:17" s="11" customFormat="1">
      <c r="A15" s="2" t="s">
        <v>168</v>
      </c>
      <c r="B15" s="26"/>
      <c r="C15" s="52" t="s">
        <v>9</v>
      </c>
      <c r="D15" s="53"/>
      <c r="E15" s="53"/>
      <c r="F15" s="53"/>
      <c r="G15" s="53"/>
      <c r="H15" s="53"/>
      <c r="I15" s="53"/>
      <c r="J15" s="53"/>
      <c r="K15" s="53"/>
      <c r="L15" s="53">
        <v>4000</v>
      </c>
      <c r="M15" s="29"/>
      <c r="N15" s="29"/>
      <c r="O15" s="29"/>
      <c r="P15" s="30">
        <f t="shared" si="0"/>
        <v>4000</v>
      </c>
      <c r="Q15" s="10"/>
    </row>
    <row r="16" spans="1:17" s="11" customFormat="1">
      <c r="A16" s="2" t="s">
        <v>193</v>
      </c>
      <c r="B16" s="26"/>
      <c r="C16" s="52" t="s">
        <v>9</v>
      </c>
      <c r="D16" s="53"/>
      <c r="E16" s="53"/>
      <c r="F16" s="53"/>
      <c r="G16" s="53"/>
      <c r="H16" s="53"/>
      <c r="I16" s="53"/>
      <c r="J16" s="53"/>
      <c r="K16" s="53"/>
      <c r="L16" s="53">
        <v>2000</v>
      </c>
      <c r="M16" s="29"/>
      <c r="N16" s="29"/>
      <c r="O16" s="29"/>
      <c r="P16" s="30">
        <f t="shared" si="0"/>
        <v>2000</v>
      </c>
      <c r="Q16" s="10"/>
    </row>
    <row r="17" spans="1:17" s="11" customFormat="1">
      <c r="A17" s="2" t="s">
        <v>191</v>
      </c>
      <c r="B17" s="26"/>
      <c r="C17" s="52" t="s">
        <v>9</v>
      </c>
      <c r="D17" s="29"/>
      <c r="E17" s="29"/>
      <c r="F17" s="29"/>
      <c r="G17" s="29"/>
      <c r="H17" s="29"/>
      <c r="I17" s="29"/>
      <c r="J17" s="29">
        <v>1065</v>
      </c>
      <c r="K17" s="29">
        <v>1300</v>
      </c>
      <c r="L17" s="60"/>
      <c r="M17" s="29"/>
      <c r="N17" s="29"/>
      <c r="O17" s="29"/>
      <c r="P17" s="30">
        <f t="shared" si="0"/>
        <v>2365</v>
      </c>
      <c r="Q17" s="10"/>
    </row>
    <row r="18" spans="1:17" s="11" customFormat="1">
      <c r="A18" s="2" t="s">
        <v>184</v>
      </c>
      <c r="B18" s="26"/>
      <c r="C18" s="52" t="s">
        <v>9</v>
      </c>
      <c r="D18" s="29"/>
      <c r="E18" s="29"/>
      <c r="F18" s="29">
        <v>1764</v>
      </c>
      <c r="G18" s="29"/>
      <c r="H18" s="29"/>
      <c r="I18" s="29"/>
      <c r="J18" s="29"/>
      <c r="K18" s="29"/>
      <c r="L18" s="60"/>
      <c r="M18" s="29"/>
      <c r="N18" s="29"/>
      <c r="O18" s="29"/>
      <c r="P18" s="30">
        <f t="shared" si="0"/>
        <v>1764</v>
      </c>
      <c r="Q18" s="10"/>
    </row>
    <row r="19" spans="1:17" s="11" customFormat="1">
      <c r="A19" s="2" t="s">
        <v>194</v>
      </c>
      <c r="B19" s="26"/>
      <c r="C19" s="52" t="s">
        <v>10</v>
      </c>
      <c r="D19" s="29"/>
      <c r="E19" s="29"/>
      <c r="F19" s="29"/>
      <c r="G19" s="29"/>
      <c r="H19" s="29"/>
      <c r="I19" s="29"/>
      <c r="J19" s="29">
        <v>10210</v>
      </c>
      <c r="K19" s="29"/>
      <c r="L19" s="60"/>
      <c r="M19" s="29">
        <v>265</v>
      </c>
      <c r="N19" s="29"/>
      <c r="O19" s="29"/>
      <c r="P19" s="30">
        <f t="shared" si="0"/>
        <v>10475</v>
      </c>
      <c r="Q19" s="10"/>
    </row>
    <row r="20" spans="1:17" s="11" customFormat="1">
      <c r="A20" s="2" t="s">
        <v>195</v>
      </c>
      <c r="B20" s="26"/>
      <c r="C20" s="80" t="s">
        <v>10</v>
      </c>
      <c r="D20" s="29"/>
      <c r="E20" s="29"/>
      <c r="F20" s="29"/>
      <c r="G20" s="29"/>
      <c r="H20" s="29"/>
      <c r="I20" s="29"/>
      <c r="J20" s="29">
        <v>1200</v>
      </c>
      <c r="K20" s="29"/>
      <c r="L20" s="60"/>
      <c r="M20" s="29"/>
      <c r="N20" s="29"/>
      <c r="O20" s="29"/>
      <c r="P20" s="30">
        <f t="shared" si="0"/>
        <v>1200</v>
      </c>
      <c r="Q20" s="10"/>
    </row>
    <row r="21" spans="1:17" s="11" customFormat="1">
      <c r="A21" s="2" t="s">
        <v>196</v>
      </c>
      <c r="B21" s="26"/>
      <c r="C21" s="52" t="s">
        <v>10</v>
      </c>
      <c r="D21" s="29"/>
      <c r="E21" s="29"/>
      <c r="F21" s="29"/>
      <c r="G21" s="29"/>
      <c r="H21" s="29"/>
      <c r="I21" s="29"/>
      <c r="J21" s="29"/>
      <c r="K21" s="29"/>
      <c r="L21" s="60"/>
      <c r="M21" s="29">
        <v>2074</v>
      </c>
      <c r="N21" s="29"/>
      <c r="O21" s="29"/>
      <c r="P21" s="30">
        <f t="shared" si="0"/>
        <v>2074</v>
      </c>
      <c r="Q21" s="10"/>
    </row>
    <row r="22" spans="1:17" s="11" customFormat="1">
      <c r="A22" s="2" t="s">
        <v>197</v>
      </c>
      <c r="B22" s="26"/>
      <c r="C22" s="52" t="s">
        <v>10</v>
      </c>
      <c r="D22" s="29"/>
      <c r="E22" s="29"/>
      <c r="F22" s="29"/>
      <c r="G22" s="29"/>
      <c r="H22" s="29"/>
      <c r="I22" s="29"/>
      <c r="J22" s="29"/>
      <c r="K22" s="29"/>
      <c r="L22" s="60"/>
      <c r="M22" s="29">
        <v>18811</v>
      </c>
      <c r="N22" s="29"/>
      <c r="O22" s="29"/>
      <c r="P22" s="30">
        <f t="shared" si="0"/>
        <v>18811</v>
      </c>
      <c r="Q22" s="10"/>
    </row>
    <row r="23" spans="1:17" s="11" customFormat="1">
      <c r="A23" s="2" t="s">
        <v>198</v>
      </c>
      <c r="B23" s="26"/>
      <c r="C23" s="52" t="s">
        <v>10</v>
      </c>
      <c r="D23" s="29"/>
      <c r="E23" s="29"/>
      <c r="F23" s="29"/>
      <c r="G23" s="29"/>
      <c r="H23" s="29"/>
      <c r="I23" s="29"/>
      <c r="J23" s="29"/>
      <c r="K23" s="29"/>
      <c r="L23" s="60"/>
      <c r="M23" s="29">
        <v>2212</v>
      </c>
      <c r="N23" s="29"/>
      <c r="O23" s="29"/>
      <c r="P23" s="30">
        <f t="shared" si="0"/>
        <v>2212</v>
      </c>
      <c r="Q23" s="10"/>
    </row>
    <row r="24" spans="1:17" s="11" customFormat="1">
      <c r="A24" s="2" t="s">
        <v>199</v>
      </c>
      <c r="B24" s="26"/>
      <c r="C24" s="52" t="s">
        <v>10</v>
      </c>
      <c r="D24" s="29"/>
      <c r="E24" s="29"/>
      <c r="F24" s="29"/>
      <c r="G24" s="29"/>
      <c r="H24" s="29"/>
      <c r="I24" s="29"/>
      <c r="J24" s="29"/>
      <c r="K24" s="29"/>
      <c r="L24" s="60"/>
      <c r="M24" s="29">
        <v>1950</v>
      </c>
      <c r="N24" s="29"/>
      <c r="O24" s="29"/>
      <c r="P24" s="30">
        <f t="shared" si="0"/>
        <v>1950</v>
      </c>
      <c r="Q24" s="10"/>
    </row>
    <row r="25" spans="1:17" s="11" customFormat="1">
      <c r="A25" s="2" t="s">
        <v>200</v>
      </c>
      <c r="B25" s="26"/>
      <c r="C25" s="52" t="s">
        <v>10</v>
      </c>
      <c r="D25" s="29"/>
      <c r="E25" s="29"/>
      <c r="F25" s="29"/>
      <c r="G25" s="29"/>
      <c r="H25" s="29"/>
      <c r="I25" s="29"/>
      <c r="J25" s="29"/>
      <c r="K25" s="29"/>
      <c r="L25" s="60"/>
      <c r="M25" s="29">
        <v>1075</v>
      </c>
      <c r="N25" s="29"/>
      <c r="O25" s="29"/>
      <c r="P25" s="30">
        <f t="shared" si="0"/>
        <v>1075</v>
      </c>
      <c r="Q25" s="10"/>
    </row>
    <row r="26" spans="1:17" s="11" customFormat="1">
      <c r="A26" s="2" t="s">
        <v>201</v>
      </c>
      <c r="B26" s="73"/>
      <c r="C26" s="2" t="s">
        <v>10</v>
      </c>
      <c r="D26" s="29"/>
      <c r="E26" s="29"/>
      <c r="F26" s="29"/>
      <c r="G26" s="29"/>
      <c r="H26" s="29"/>
      <c r="I26" s="29"/>
      <c r="J26" s="29"/>
      <c r="K26" s="29"/>
      <c r="L26" s="29"/>
      <c r="M26" s="29">
        <v>10500</v>
      </c>
      <c r="N26" s="29"/>
      <c r="O26" s="29"/>
      <c r="P26" s="30">
        <f t="shared" si="0"/>
        <v>10500</v>
      </c>
      <c r="Q26" s="10"/>
    </row>
    <row r="27" spans="1:17" s="11" customFormat="1">
      <c r="A27" s="2" t="s">
        <v>202</v>
      </c>
      <c r="B27" s="73"/>
      <c r="C27" s="2" t="s">
        <v>10</v>
      </c>
      <c r="D27" s="29"/>
      <c r="E27" s="29"/>
      <c r="F27" s="29"/>
      <c r="G27" s="29"/>
      <c r="H27" s="29"/>
      <c r="I27" s="29"/>
      <c r="J27" s="29"/>
      <c r="K27" s="29"/>
      <c r="L27" s="29"/>
      <c r="M27" s="29">
        <v>5680</v>
      </c>
      <c r="N27" s="29"/>
      <c r="O27" s="60"/>
      <c r="P27" s="30">
        <f t="shared" si="0"/>
        <v>5680</v>
      </c>
      <c r="Q27" s="10"/>
    </row>
    <row r="28" spans="1:17" s="11" customFormat="1" ht="16.149999999999999" customHeight="1">
      <c r="A28" s="2" t="s">
        <v>203</v>
      </c>
      <c r="B28" s="73"/>
      <c r="C28" s="2" t="s">
        <v>10</v>
      </c>
      <c r="D28" s="29"/>
      <c r="E28" s="29"/>
      <c r="F28" s="29"/>
      <c r="G28" s="29"/>
      <c r="H28" s="29"/>
      <c r="I28" s="29"/>
      <c r="J28" s="29"/>
      <c r="K28" s="29"/>
      <c r="L28" s="29"/>
      <c r="M28" s="29">
        <v>5680</v>
      </c>
      <c r="N28" s="29"/>
      <c r="O28" s="29"/>
      <c r="P28" s="30">
        <f t="shared" si="0"/>
        <v>5680</v>
      </c>
      <c r="Q28" s="10"/>
    </row>
    <row r="29" spans="1:17" s="11" customFormat="1">
      <c r="A29" s="2" t="s">
        <v>204</v>
      </c>
      <c r="B29" s="73"/>
      <c r="C29" s="2" t="s">
        <v>10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>
        <v>8353</v>
      </c>
      <c r="O29" s="29"/>
      <c r="P29" s="30">
        <f t="shared" si="0"/>
        <v>8353</v>
      </c>
      <c r="Q29" s="10"/>
    </row>
    <row r="30" spans="1:17" s="11" customFormat="1">
      <c r="A30" s="2" t="s">
        <v>205</v>
      </c>
      <c r="B30" s="73"/>
      <c r="C30" s="2" t="s">
        <v>10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>
        <v>11800</v>
      </c>
      <c r="O30" s="29"/>
      <c r="P30" s="30">
        <f t="shared" si="0"/>
        <v>11800</v>
      </c>
      <c r="Q30" s="10"/>
    </row>
    <row r="31" spans="1:17" s="11" customFormat="1">
      <c r="A31" s="2" t="s">
        <v>206</v>
      </c>
      <c r="B31" s="73"/>
      <c r="C31" s="2" t="s">
        <v>10</v>
      </c>
      <c r="D31" s="29"/>
      <c r="E31" s="29"/>
      <c r="F31" s="29"/>
      <c r="G31" s="29"/>
      <c r="H31" s="29"/>
      <c r="I31" s="29"/>
      <c r="J31" s="29"/>
      <c r="K31" s="29"/>
      <c r="L31" s="29"/>
      <c r="M31" s="29">
        <v>1100</v>
      </c>
      <c r="N31" s="29"/>
      <c r="O31" s="29"/>
      <c r="P31" s="30">
        <f t="shared" si="0"/>
        <v>1100</v>
      </c>
      <c r="Q31" s="10"/>
    </row>
    <row r="32" spans="1:17" s="11" customFormat="1">
      <c r="A32" s="2" t="s">
        <v>207</v>
      </c>
      <c r="B32" s="73"/>
      <c r="C32" s="2" t="s">
        <v>10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>
        <v>1100</v>
      </c>
      <c r="O32" s="29"/>
      <c r="P32" s="30">
        <f t="shared" si="0"/>
        <v>1100</v>
      </c>
      <c r="Q32" s="10"/>
    </row>
    <row r="33" spans="1:17" s="11" customFormat="1">
      <c r="A33" s="2" t="s">
        <v>208</v>
      </c>
      <c r="B33" s="73"/>
      <c r="C33" s="2" t="s">
        <v>10</v>
      </c>
      <c r="D33" s="29"/>
      <c r="E33" s="29"/>
      <c r="F33" s="29"/>
      <c r="G33" s="29"/>
      <c r="H33" s="29"/>
      <c r="I33" s="29"/>
      <c r="J33" s="29"/>
      <c r="K33" s="29"/>
      <c r="L33" s="29"/>
      <c r="M33" s="29">
        <v>200</v>
      </c>
      <c r="N33" s="29"/>
      <c r="O33" s="29"/>
      <c r="P33" s="30">
        <f t="shared" si="0"/>
        <v>200</v>
      </c>
      <c r="Q33" s="10"/>
    </row>
    <row r="34" spans="1:17" s="11" customFormat="1">
      <c r="A34" s="2" t="s">
        <v>209</v>
      </c>
      <c r="B34" s="73"/>
      <c r="C34" s="2" t="s">
        <v>10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>
        <v>1000</v>
      </c>
      <c r="O34" s="29"/>
      <c r="P34" s="30">
        <f t="shared" si="0"/>
        <v>1000</v>
      </c>
      <c r="Q34" s="10"/>
    </row>
    <row r="35" spans="1:17" s="11" customFormat="1">
      <c r="A35" s="2" t="s">
        <v>210</v>
      </c>
      <c r="B35" s="73"/>
      <c r="C35" s="2" t="s">
        <v>10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>
        <v>1500</v>
      </c>
      <c r="O35" s="29"/>
      <c r="P35" s="30">
        <f t="shared" si="0"/>
        <v>1500</v>
      </c>
      <c r="Q35" s="10"/>
    </row>
    <row r="36" spans="1:17" s="11" customFormat="1">
      <c r="A36" s="2" t="s">
        <v>211</v>
      </c>
      <c r="B36" s="73"/>
      <c r="C36" s="2" t="s">
        <v>10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>
        <v>1260</v>
      </c>
      <c r="O36" s="29"/>
      <c r="P36" s="30">
        <f t="shared" si="0"/>
        <v>1260</v>
      </c>
      <c r="Q36" s="10"/>
    </row>
    <row r="37" spans="1:17" s="11" customFormat="1">
      <c r="A37" s="2" t="s">
        <v>212</v>
      </c>
      <c r="B37" s="73"/>
      <c r="C37" s="2" t="s">
        <v>10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>
        <v>850</v>
      </c>
      <c r="O37" s="29"/>
      <c r="P37" s="30">
        <f t="shared" si="0"/>
        <v>850</v>
      </c>
      <c r="Q37" s="10"/>
    </row>
    <row r="38" spans="1:17" s="11" customFormat="1">
      <c r="A38" s="2" t="s">
        <v>213</v>
      </c>
      <c r="B38" s="73"/>
      <c r="C38" s="2" t="s">
        <v>10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>
        <v>1300</v>
      </c>
      <c r="P38" s="30">
        <f t="shared" si="0"/>
        <v>1300</v>
      </c>
      <c r="Q38" s="10"/>
    </row>
    <row r="39" spans="1:17" s="11" customFormat="1" ht="16.5">
      <c r="A39" s="2" t="s">
        <v>214</v>
      </c>
      <c r="B39" s="73"/>
      <c r="C39" s="2" t="s">
        <v>9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>
        <v>960</v>
      </c>
      <c r="P39" s="30">
        <f t="shared" si="0"/>
        <v>960</v>
      </c>
      <c r="Q39" s="10"/>
    </row>
    <row r="40" spans="1:17" s="11" customFormat="1">
      <c r="A40" s="2" t="s">
        <v>215</v>
      </c>
      <c r="B40" s="73"/>
      <c r="C40" s="2" t="s">
        <v>10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>
        <v>3000</v>
      </c>
      <c r="P40" s="30">
        <f t="shared" si="0"/>
        <v>3000</v>
      </c>
      <c r="Q40" s="10"/>
    </row>
    <row r="41" spans="1:17" s="11" customFormat="1">
      <c r="A41" s="2" t="s">
        <v>216</v>
      </c>
      <c r="B41" s="73"/>
      <c r="C41" s="2" t="s">
        <v>10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>
        <v>1586</v>
      </c>
      <c r="P41" s="30">
        <f t="shared" si="0"/>
        <v>1586</v>
      </c>
      <c r="Q41" s="10"/>
    </row>
    <row r="42" spans="1:17" s="11" customFormat="1">
      <c r="A42" s="2" t="s">
        <v>217</v>
      </c>
      <c r="B42" s="73"/>
      <c r="C42" s="2" t="s">
        <v>10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>
        <v>244.76</v>
      </c>
      <c r="P42" s="30">
        <f t="shared" si="0"/>
        <v>244.76</v>
      </c>
      <c r="Q42" s="10"/>
    </row>
    <row r="43" spans="1:17" s="11" customFormat="1">
      <c r="A43" s="2" t="s">
        <v>80</v>
      </c>
      <c r="B43" s="73"/>
      <c r="C43" s="2" t="s">
        <v>10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>
        <v>4298</v>
      </c>
      <c r="P43" s="30">
        <f t="shared" si="0"/>
        <v>4298</v>
      </c>
      <c r="Q43" s="10"/>
    </row>
    <row r="44" spans="1:17" s="11" customFormat="1" ht="16.5">
      <c r="A44" s="2" t="s">
        <v>164</v>
      </c>
      <c r="B44" s="73"/>
      <c r="C44" s="2" t="s">
        <v>9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>
        <v>1959</v>
      </c>
      <c r="P44" s="30">
        <f t="shared" ref="P44:P63" si="1">SUM(D44:O44)</f>
        <v>1959</v>
      </c>
      <c r="Q44" s="10"/>
    </row>
    <row r="45" spans="1:17" s="11" customFormat="1" ht="16.5">
      <c r="A45" s="2" t="s">
        <v>218</v>
      </c>
      <c r="B45" s="73"/>
      <c r="C45" s="2" t="s">
        <v>9</v>
      </c>
      <c r="D45" s="29"/>
      <c r="E45" s="29"/>
      <c r="F45" s="29"/>
      <c r="G45" s="29"/>
      <c r="H45" s="29"/>
      <c r="I45" s="29"/>
      <c r="J45" s="29"/>
      <c r="K45" s="29"/>
      <c r="L45" s="29"/>
      <c r="M45" s="29">
        <v>2281.9499999999998</v>
      </c>
      <c r="N45" s="29"/>
      <c r="O45" s="29"/>
      <c r="P45" s="30">
        <f t="shared" si="1"/>
        <v>2281.9499999999998</v>
      </c>
      <c r="Q45" s="10"/>
    </row>
    <row r="46" spans="1:17" s="11" customFormat="1" ht="16.5">
      <c r="A46" s="2" t="s">
        <v>173</v>
      </c>
      <c r="B46" s="73"/>
      <c r="C46" s="2" t="s">
        <v>9</v>
      </c>
      <c r="D46" s="29"/>
      <c r="E46" s="29"/>
      <c r="F46" s="29"/>
      <c r="G46" s="29"/>
      <c r="H46" s="29"/>
      <c r="I46" s="29"/>
      <c r="J46" s="29"/>
      <c r="K46" s="29"/>
      <c r="L46" s="29"/>
      <c r="M46" s="29">
        <v>265.02999999999997</v>
      </c>
      <c r="N46" s="29"/>
      <c r="O46" s="29"/>
      <c r="P46" s="30">
        <f t="shared" si="1"/>
        <v>265.02999999999997</v>
      </c>
      <c r="Q46" s="10"/>
    </row>
    <row r="47" spans="1:17" s="11" customFormat="1" ht="16.5">
      <c r="A47" s="2" t="s">
        <v>80</v>
      </c>
      <c r="B47" s="73"/>
      <c r="C47" s="2" t="s">
        <v>9</v>
      </c>
      <c r="D47" s="29"/>
      <c r="E47" s="29"/>
      <c r="F47" s="29"/>
      <c r="G47" s="29"/>
      <c r="H47" s="29"/>
      <c r="I47" s="29"/>
      <c r="J47" s="29"/>
      <c r="K47" s="29"/>
      <c r="L47" s="29"/>
      <c r="M47" s="29">
        <v>3530</v>
      </c>
      <c r="N47" s="29"/>
      <c r="O47" s="29"/>
      <c r="P47" s="30">
        <f t="shared" si="1"/>
        <v>3530</v>
      </c>
      <c r="Q47" s="10"/>
    </row>
    <row r="48" spans="1:17" s="11" customFormat="1" ht="16.5">
      <c r="A48" s="2" t="s">
        <v>32</v>
      </c>
      <c r="B48" s="73"/>
      <c r="C48" s="2" t="s">
        <v>9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>
        <v>2212</v>
      </c>
      <c r="O48" s="29"/>
      <c r="P48" s="30">
        <f t="shared" si="1"/>
        <v>2212</v>
      </c>
      <c r="Q48" s="10"/>
    </row>
    <row r="49" spans="1:17" s="11" customFormat="1" ht="16.5">
      <c r="A49" s="2" t="s">
        <v>219</v>
      </c>
      <c r="B49" s="73"/>
      <c r="C49" s="2" t="s">
        <v>9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>
        <v>353.02</v>
      </c>
      <c r="O49" s="29"/>
      <c r="P49" s="30">
        <f t="shared" si="1"/>
        <v>353.02</v>
      </c>
      <c r="Q49" s="10"/>
    </row>
    <row r="50" spans="1:17" s="11" customFormat="1" ht="16.5">
      <c r="A50" s="2" t="s">
        <v>220</v>
      </c>
      <c r="B50" s="73"/>
      <c r="C50" s="2" t="s">
        <v>9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>
        <v>13000</v>
      </c>
      <c r="O50" s="29"/>
      <c r="P50" s="30">
        <f t="shared" si="1"/>
        <v>13000</v>
      </c>
      <c r="Q50" s="10"/>
    </row>
    <row r="51" spans="1:17" s="11" customFormat="1" ht="16.5">
      <c r="A51" s="2"/>
      <c r="B51" s="73" t="s">
        <v>191</v>
      </c>
      <c r="C51" s="2" t="s">
        <v>9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>
        <v>500</v>
      </c>
      <c r="O51" s="29"/>
      <c r="P51" s="30">
        <f t="shared" si="1"/>
        <v>500</v>
      </c>
      <c r="Q51" s="10"/>
    </row>
    <row r="52" spans="1:17" s="11" customFormat="1" ht="16.5">
      <c r="A52" s="2"/>
      <c r="B52" s="73" t="s">
        <v>221</v>
      </c>
      <c r="C52" s="2" t="s">
        <v>9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>
        <v>3250</v>
      </c>
      <c r="O52" s="29"/>
      <c r="P52" s="30">
        <f t="shared" si="1"/>
        <v>3250</v>
      </c>
      <c r="Q52" s="10"/>
    </row>
    <row r="53" spans="1:17" s="11" customFormat="1" ht="16.5">
      <c r="A53" s="2"/>
      <c r="B53" s="73" t="s">
        <v>217</v>
      </c>
      <c r="C53" s="2" t="s">
        <v>9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>
        <v>261.64</v>
      </c>
      <c r="O53" s="29"/>
      <c r="P53" s="30">
        <f t="shared" si="1"/>
        <v>261.64</v>
      </c>
      <c r="Q53" s="10"/>
    </row>
    <row r="54" spans="1:17" s="11" customFormat="1" ht="16.5">
      <c r="A54" s="2"/>
      <c r="B54" s="73" t="s">
        <v>222</v>
      </c>
      <c r="C54" s="2" t="s">
        <v>9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>
        <v>25782.5</v>
      </c>
      <c r="O54" s="29"/>
      <c r="P54" s="30">
        <f t="shared" si="1"/>
        <v>25782.5</v>
      </c>
      <c r="Q54" s="10"/>
    </row>
    <row r="55" spans="1:17" s="11" customFormat="1" ht="16.5">
      <c r="A55" s="2"/>
      <c r="B55" s="73" t="s">
        <v>223</v>
      </c>
      <c r="C55" s="2" t="s">
        <v>9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>
        <v>2850</v>
      </c>
      <c r="O55" s="29"/>
      <c r="P55" s="30">
        <f t="shared" si="1"/>
        <v>2850</v>
      </c>
      <c r="Q55" s="10"/>
    </row>
    <row r="56" spans="1:17" s="11" customFormat="1" ht="16.5">
      <c r="A56" s="2"/>
      <c r="B56" s="73" t="s">
        <v>224</v>
      </c>
      <c r="C56" s="2" t="s">
        <v>9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>
        <v>9141</v>
      </c>
      <c r="P56" s="30">
        <f t="shared" si="1"/>
        <v>9141</v>
      </c>
      <c r="Q56" s="10"/>
    </row>
    <row r="57" spans="1:17" s="11" customFormat="1" ht="16.5">
      <c r="A57" s="2"/>
      <c r="B57" s="73" t="s">
        <v>225</v>
      </c>
      <c r="C57" s="2" t="s">
        <v>9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>
        <v>1959</v>
      </c>
      <c r="P57" s="30">
        <f t="shared" si="1"/>
        <v>1959</v>
      </c>
      <c r="Q57" s="10"/>
    </row>
    <row r="58" spans="1:17" s="11" customFormat="1">
      <c r="A58" s="2"/>
      <c r="B58" s="73"/>
      <c r="C58" s="2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30">
        <f t="shared" si="1"/>
        <v>0</v>
      </c>
      <c r="Q58" s="10"/>
    </row>
    <row r="59" spans="1:17" s="11" customFormat="1">
      <c r="A59" s="2"/>
      <c r="B59" s="73"/>
      <c r="C59" s="2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30">
        <f t="shared" si="1"/>
        <v>0</v>
      </c>
      <c r="Q59" s="10"/>
    </row>
    <row r="60" spans="1:17" s="11" customFormat="1">
      <c r="A60" s="2"/>
      <c r="B60" s="73"/>
      <c r="C60" s="2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30">
        <f t="shared" si="1"/>
        <v>0</v>
      </c>
      <c r="Q60" s="10"/>
    </row>
    <row r="61" spans="1:17" s="11" customFormat="1">
      <c r="A61" s="2"/>
      <c r="B61" s="73"/>
      <c r="C61" s="2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30">
        <f t="shared" si="1"/>
        <v>0</v>
      </c>
      <c r="Q61" s="10"/>
    </row>
    <row r="62" spans="1:17" s="11" customFormat="1">
      <c r="A62" s="2"/>
      <c r="B62" s="73"/>
      <c r="C62" s="2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30">
        <f t="shared" si="1"/>
        <v>0</v>
      </c>
      <c r="Q62" s="10"/>
    </row>
    <row r="63" spans="1:17" s="11" customFormat="1">
      <c r="A63" s="2"/>
      <c r="B63" s="73"/>
      <c r="C63" s="2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30">
        <f t="shared" si="1"/>
        <v>0</v>
      </c>
      <c r="Q63" s="10"/>
    </row>
    <row r="64" spans="1:17" s="14" customFormat="1" ht="20.100000000000001" customHeight="1">
      <c r="A64" s="82" t="s">
        <v>62</v>
      </c>
      <c r="B64" s="82"/>
      <c r="C64" s="83"/>
      <c r="D64" s="33">
        <f>SUM(D2:D63)</f>
        <v>8437</v>
      </c>
      <c r="E64" s="33">
        <f t="shared" ref="E64:O64" si="2">SUM(E2:E63)</f>
        <v>1232</v>
      </c>
      <c r="F64" s="33">
        <f t="shared" si="2"/>
        <v>11135</v>
      </c>
      <c r="G64" s="33">
        <f t="shared" si="2"/>
        <v>2730</v>
      </c>
      <c r="H64" s="33">
        <f t="shared" si="2"/>
        <v>4670</v>
      </c>
      <c r="I64" s="33">
        <f t="shared" si="2"/>
        <v>0</v>
      </c>
      <c r="J64" s="33">
        <f t="shared" si="2"/>
        <v>12475</v>
      </c>
      <c r="K64" s="33">
        <f t="shared" si="2"/>
        <v>10630</v>
      </c>
      <c r="L64" s="33">
        <f t="shared" si="2"/>
        <v>6000</v>
      </c>
      <c r="M64" s="33">
        <f t="shared" si="2"/>
        <v>55623.979999999996</v>
      </c>
      <c r="N64" s="33">
        <f t="shared" si="2"/>
        <v>74072.160000000003</v>
      </c>
      <c r="O64" s="33">
        <f t="shared" si="2"/>
        <v>24447.760000000002</v>
      </c>
      <c r="P64" s="33">
        <f>SUM(P2:P63)</f>
        <v>211452.90000000002</v>
      </c>
      <c r="Q64" s="13"/>
    </row>
    <row r="65" spans="1:17" s="14" customFormat="1" ht="3.95" customHeight="1">
      <c r="A65" s="4"/>
      <c r="B65" s="4"/>
      <c r="C65" s="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5"/>
      <c r="Q65" s="15"/>
    </row>
    <row r="66" spans="1:17" s="14" customFormat="1" ht="18" customHeight="1">
      <c r="A66" s="16" t="s">
        <v>63</v>
      </c>
      <c r="B66" s="16"/>
      <c r="C66" s="16" t="s">
        <v>64</v>
      </c>
      <c r="D66" s="36">
        <f>SUMIF($C1:$C63,"=Cruz",D1:D63)</f>
        <v>8437</v>
      </c>
      <c r="E66" s="36">
        <f>SUMIF($C1:$C63,"=Cruz",E1:E63)</f>
        <v>1232</v>
      </c>
      <c r="F66" s="36">
        <f>SUMIF($C1:$C63,"=Cruz",F1:F63)</f>
        <v>3481</v>
      </c>
      <c r="G66" s="36">
        <f>SUMIF($C1:$C63,"=Cruz",G1:G63)</f>
        <v>2730</v>
      </c>
      <c r="H66" s="36">
        <f>SUMIF($C1:$C63,"=Cruz",H1:H63)</f>
        <v>4670</v>
      </c>
      <c r="I66" s="36">
        <f>SUMIF($C1:$C63,"=Cruz",I1:I63)</f>
        <v>0</v>
      </c>
      <c r="J66" s="36">
        <f>SUMIF($C1:$C63,"=Cruz",J1:J63)</f>
        <v>11410</v>
      </c>
      <c r="K66" s="36">
        <f>SUMIF($C1:$C63,"=Cruz",K1:K63)</f>
        <v>1530</v>
      </c>
      <c r="L66" s="36">
        <f>SUMIF($C1:$C63,"=Cruz",L1:L63)</f>
        <v>0</v>
      </c>
      <c r="M66" s="36">
        <f>SUMIF($C1:$C63,"=Cruz",M1:M63)</f>
        <v>49547</v>
      </c>
      <c r="N66" s="36">
        <f>SUMIF($C1:$C63,"=Cruz",N1:N63)</f>
        <v>25863</v>
      </c>
      <c r="O66" s="36">
        <f>SUMIF($C1:$C63,"=Cruz",O1:O63)</f>
        <v>10428.76</v>
      </c>
      <c r="P66" s="36">
        <f>SUM(D66:O66)</f>
        <v>119328.76</v>
      </c>
      <c r="Q66" s="17"/>
    </row>
    <row r="67" spans="1:17" s="14" customFormat="1" ht="3.95" customHeight="1">
      <c r="A67" s="4"/>
      <c r="B67" s="4"/>
      <c r="C67" s="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7"/>
      <c r="Q67" s="15"/>
    </row>
    <row r="68" spans="1:17" s="14" customFormat="1" ht="20.100000000000001" customHeight="1">
      <c r="A68" s="18" t="s">
        <v>63</v>
      </c>
      <c r="B68" s="18"/>
      <c r="C68" s="18" t="s">
        <v>9</v>
      </c>
      <c r="D68" s="38">
        <f>SUMIF($C1:$C63,"=Douglas",D1:D63)</f>
        <v>0</v>
      </c>
      <c r="E68" s="38">
        <f>SUMIF($C1:$C63,"=Douglas",E1:E63)</f>
        <v>0</v>
      </c>
      <c r="F68" s="38">
        <f>SUMIF($C1:$C63,"=Douglas",F1:F63)</f>
        <v>7654</v>
      </c>
      <c r="G68" s="38">
        <f t="shared" ref="G68:O68" si="3">SUMIF($C1:$C63,"=Douglas",G1:G63)</f>
        <v>0</v>
      </c>
      <c r="H68" s="38">
        <f t="shared" si="3"/>
        <v>0</v>
      </c>
      <c r="I68" s="38">
        <f t="shared" si="3"/>
        <v>0</v>
      </c>
      <c r="J68" s="38">
        <f t="shared" si="3"/>
        <v>1065</v>
      </c>
      <c r="K68" s="38">
        <f t="shared" si="3"/>
        <v>9100</v>
      </c>
      <c r="L68" s="38">
        <f t="shared" si="3"/>
        <v>6000</v>
      </c>
      <c r="M68" s="38">
        <f t="shared" si="3"/>
        <v>6076.98</v>
      </c>
      <c r="N68" s="38">
        <f t="shared" si="3"/>
        <v>48209.16</v>
      </c>
      <c r="O68" s="38">
        <f t="shared" si="3"/>
        <v>14019</v>
      </c>
      <c r="P68" s="38">
        <f>SUM(D68:O68)</f>
        <v>92124.14</v>
      </c>
      <c r="Q68" s="17"/>
    </row>
    <row r="69" spans="1:17" s="14" customFormat="1" ht="20.100000000000001" customHeight="1"/>
    <row r="70" spans="1:17" s="23" customFormat="1" ht="5.0999999999999996" customHeight="1">
      <c r="A70" s="19"/>
      <c r="B70" s="19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1"/>
      <c r="Q70" s="22"/>
    </row>
    <row r="71" spans="1:17">
      <c r="P71" s="41"/>
    </row>
    <row r="72" spans="1:17">
      <c r="C72" s="39"/>
      <c r="D72" s="40"/>
      <c r="P72" s="41"/>
    </row>
    <row r="75" spans="1:17">
      <c r="P75" s="81"/>
    </row>
  </sheetData>
  <mergeCells count="1">
    <mergeCell ref="A64:C64"/>
  </mergeCells>
  <pageMargins left="0.51181102362204722" right="0.51181102362204722" top="0.78740157480314965" bottom="0.78740157480314965" header="0.31496062992125984" footer="0.31496062992125984"/>
  <pageSetup paperSize="9" scale="44" orientation="landscape" r:id="rId1"/>
  <headerFooter scaleWithDoc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Douglas" xr:uid="{01AB0F1E-197B-417E-88D7-C9C7ED254964}">
          <x14:formula1>
            <xm:f>Nomes!$A$2:$A$3</xm:f>
          </x14:formula1>
          <xm:sqref>C2:C16 C22:C63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6455-DF2B-4F17-BD77-2D756B295B9E}">
  <sheetPr>
    <outlinePr showOutlineSymbols="0"/>
    <pageSetUpPr fitToPage="1"/>
  </sheetPr>
  <dimension ref="A1:Q55"/>
  <sheetViews>
    <sheetView showGridLines="0" showZeros="0" showOutlineSymbols="0" defaultGridColor="0" view="pageBreakPreview" colorId="9" zoomScaleNormal="60" zoomScaleSheetLayoutView="100" workbookViewId="0">
      <pane ySplit="1" topLeftCell="A27" activePane="bottomLeft" state="frozen"/>
      <selection pane="bottomLeft" activeCell="F52" sqref="F52"/>
    </sheetView>
  </sheetViews>
  <sheetFormatPr defaultColWidth="8.875" defaultRowHeight="15.6"/>
  <cols>
    <col min="1" max="1" width="42.875" customWidth="1"/>
    <col min="2" max="2" width="19.625" customWidth="1"/>
    <col min="3" max="3" width="18.5" customWidth="1"/>
    <col min="4" max="5" width="13.875" bestFit="1" customWidth="1"/>
    <col min="6" max="6" width="12.625" bestFit="1" customWidth="1"/>
    <col min="7" max="7" width="13.5" customWidth="1"/>
    <col min="8" max="8" width="12.625" bestFit="1" customWidth="1"/>
    <col min="9" max="10" width="13.5" bestFit="1" customWidth="1"/>
    <col min="11" max="11" width="13.875" style="24" bestFit="1" customWidth="1"/>
    <col min="12" max="12" width="13.5" style="24" bestFit="1" customWidth="1"/>
    <col min="13" max="13" width="15" style="24" customWidth="1"/>
    <col min="14" max="14" width="13.875" style="24" bestFit="1" customWidth="1"/>
    <col min="15" max="15" width="12.625" style="24" bestFit="1" customWidth="1"/>
    <col min="16" max="16" width="19.625" style="24" bestFit="1" customWidth="1"/>
    <col min="17" max="17" width="0.125" customWidth="1"/>
    <col min="18" max="18" width="10.625" style="25" bestFit="1" customWidth="1"/>
    <col min="19" max="16384" width="8.875" style="25"/>
  </cols>
  <sheetData>
    <row r="1" spans="1:17" s="9" customFormat="1" ht="20.100000000000001" customHeight="1" thickBot="1">
      <c r="A1" s="5" t="s">
        <v>14</v>
      </c>
      <c r="B1" s="5" t="s">
        <v>161</v>
      </c>
      <c r="C1" s="79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7" t="s">
        <v>28</v>
      </c>
      <c r="Q1" s="8"/>
    </row>
    <row r="2" spans="1:17" s="11" customFormat="1" ht="16.5">
      <c r="A2" s="2" t="s">
        <v>80</v>
      </c>
      <c r="B2" s="26"/>
      <c r="C2" s="2" t="s">
        <v>9</v>
      </c>
      <c r="D2" s="29">
        <v>1620</v>
      </c>
      <c r="E2" s="29"/>
      <c r="F2" s="29"/>
      <c r="G2" s="29"/>
      <c r="H2" s="29"/>
      <c r="I2" s="53"/>
      <c r="J2" s="29"/>
      <c r="K2" s="29"/>
      <c r="L2" s="29"/>
      <c r="M2" s="46"/>
      <c r="N2" s="46"/>
      <c r="O2" s="46"/>
      <c r="P2" s="30">
        <f>SUM(F2:O2)</f>
        <v>0</v>
      </c>
      <c r="Q2" s="10"/>
    </row>
    <row r="3" spans="1:17" s="11" customFormat="1" ht="16.5">
      <c r="A3" s="2" t="s">
        <v>226</v>
      </c>
      <c r="B3" s="26"/>
      <c r="C3" s="2" t="s">
        <v>9</v>
      </c>
      <c r="D3" s="29">
        <v>1050</v>
      </c>
      <c r="E3" s="29"/>
      <c r="F3" s="29"/>
      <c r="G3" s="29"/>
      <c r="H3" s="29"/>
      <c r="I3" s="29"/>
      <c r="J3" s="53"/>
      <c r="K3" s="29"/>
      <c r="L3" s="29"/>
      <c r="M3" s="46"/>
      <c r="N3" s="46"/>
      <c r="O3" s="46"/>
      <c r="P3" s="30">
        <f>SUM(F3:O3)</f>
        <v>0</v>
      </c>
      <c r="Q3" s="10"/>
    </row>
    <row r="4" spans="1:17" s="11" customFormat="1" ht="16.5">
      <c r="A4" s="2" t="s">
        <v>227</v>
      </c>
      <c r="B4" s="26"/>
      <c r="C4" s="2" t="s">
        <v>9</v>
      </c>
      <c r="D4" s="29">
        <v>1490</v>
      </c>
      <c r="E4" s="29"/>
      <c r="F4" s="29"/>
      <c r="G4" s="29"/>
      <c r="H4" s="29"/>
      <c r="I4" s="29"/>
      <c r="J4" s="29"/>
      <c r="K4" s="29"/>
      <c r="L4" s="29"/>
      <c r="M4" s="46"/>
      <c r="N4" s="46"/>
      <c r="O4" s="46"/>
      <c r="P4" s="30">
        <f>SUM(F4:O4)</f>
        <v>0</v>
      </c>
      <c r="Q4" s="10"/>
    </row>
    <row r="5" spans="1:17" s="11" customFormat="1" ht="16.5">
      <c r="A5" s="2" t="s">
        <v>164</v>
      </c>
      <c r="B5" s="26"/>
      <c r="C5" s="2" t="s">
        <v>9</v>
      </c>
      <c r="D5" s="29">
        <v>10200</v>
      </c>
      <c r="E5" s="29"/>
      <c r="F5" s="29"/>
      <c r="G5" s="29"/>
      <c r="H5" s="29"/>
      <c r="I5" s="29"/>
      <c r="J5" s="29"/>
      <c r="K5" s="29"/>
      <c r="L5" s="29"/>
      <c r="M5" s="46"/>
      <c r="N5" s="46"/>
      <c r="O5" s="46"/>
      <c r="P5" s="30"/>
      <c r="Q5" s="10"/>
    </row>
    <row r="6" spans="1:17" s="11" customFormat="1" ht="16.5">
      <c r="A6" s="2" t="s">
        <v>173</v>
      </c>
      <c r="B6" s="26"/>
      <c r="C6" s="2" t="s">
        <v>9</v>
      </c>
      <c r="D6" s="29">
        <v>261.64</v>
      </c>
      <c r="E6" s="29"/>
      <c r="F6" s="29"/>
      <c r="G6" s="29"/>
      <c r="H6" s="29"/>
      <c r="I6" s="29"/>
      <c r="J6" s="29"/>
      <c r="K6" s="29"/>
      <c r="L6" s="29"/>
      <c r="M6" s="46"/>
      <c r="N6" s="46"/>
      <c r="O6" s="46"/>
      <c r="P6" s="30"/>
      <c r="Q6" s="10"/>
    </row>
    <row r="7" spans="1:17" s="11" customFormat="1" ht="16.5">
      <c r="A7" s="2" t="s">
        <v>80</v>
      </c>
      <c r="B7" s="26"/>
      <c r="C7" s="52" t="s">
        <v>9</v>
      </c>
      <c r="D7" s="29">
        <v>2250</v>
      </c>
      <c r="E7" s="29"/>
      <c r="F7" s="29"/>
      <c r="G7" s="29"/>
      <c r="H7" s="29"/>
      <c r="I7" s="29"/>
      <c r="J7" s="29"/>
      <c r="K7" s="29"/>
      <c r="L7" s="29"/>
      <c r="M7" s="46"/>
      <c r="N7" s="46"/>
      <c r="O7" s="46"/>
      <c r="P7" s="30"/>
      <c r="Q7" s="10"/>
    </row>
    <row r="8" spans="1:17" s="11" customFormat="1" ht="16.5">
      <c r="A8" s="2" t="s">
        <v>228</v>
      </c>
      <c r="B8" s="26"/>
      <c r="C8" s="2" t="s">
        <v>9</v>
      </c>
      <c r="D8" s="29">
        <v>100</v>
      </c>
      <c r="E8" s="29"/>
      <c r="F8" s="29"/>
      <c r="G8" s="29"/>
      <c r="H8" s="29"/>
      <c r="I8" s="29"/>
      <c r="J8" s="29"/>
      <c r="K8" s="29"/>
      <c r="L8" s="29"/>
      <c r="M8" s="46"/>
      <c r="N8" s="46"/>
      <c r="O8" s="46"/>
      <c r="P8" s="30"/>
      <c r="Q8" s="10"/>
    </row>
    <row r="9" spans="1:17" s="11" customFormat="1" ht="16.5">
      <c r="A9" s="2" t="s">
        <v>80</v>
      </c>
      <c r="B9" s="26"/>
      <c r="C9" s="2" t="s">
        <v>9</v>
      </c>
      <c r="D9" s="29">
        <v>175</v>
      </c>
      <c r="E9" s="29"/>
      <c r="F9" s="29"/>
      <c r="G9" s="29"/>
      <c r="H9" s="29"/>
      <c r="I9" s="29"/>
      <c r="J9" s="29"/>
      <c r="K9" s="29"/>
      <c r="L9" s="29"/>
      <c r="M9" s="46"/>
      <c r="N9" s="46"/>
      <c r="O9" s="46"/>
      <c r="P9" s="30"/>
      <c r="Q9" s="10"/>
    </row>
    <row r="10" spans="1:17" s="11" customFormat="1" ht="16.5">
      <c r="A10" s="2" t="s">
        <v>229</v>
      </c>
      <c r="B10" s="26"/>
      <c r="C10" s="2" t="s">
        <v>9</v>
      </c>
      <c r="D10" s="29">
        <v>480</v>
      </c>
      <c r="E10" s="29"/>
      <c r="F10" s="29"/>
      <c r="G10" s="29"/>
      <c r="H10" s="29"/>
      <c r="I10" s="29"/>
      <c r="J10" s="29"/>
      <c r="K10" s="29"/>
      <c r="L10" s="29"/>
      <c r="M10" s="46"/>
      <c r="N10" s="46"/>
      <c r="O10" s="46"/>
      <c r="P10" s="30"/>
      <c r="Q10" s="10"/>
    </row>
    <row r="11" spans="1:17" s="11" customFormat="1" ht="16.5">
      <c r="A11" s="2" t="s">
        <v>80</v>
      </c>
      <c r="B11" s="26"/>
      <c r="C11" s="2" t="s">
        <v>9</v>
      </c>
      <c r="D11" s="29">
        <v>825</v>
      </c>
      <c r="E11" s="29"/>
      <c r="F11" s="29"/>
      <c r="G11" s="29"/>
      <c r="H11" s="29"/>
      <c r="I11" s="29"/>
      <c r="J11" s="29"/>
      <c r="K11" s="29"/>
      <c r="L11" s="29"/>
      <c r="M11" s="46"/>
      <c r="N11" s="46"/>
      <c r="O11" s="46"/>
      <c r="P11" s="30"/>
      <c r="Q11" s="10"/>
    </row>
    <row r="12" spans="1:17" s="11" customFormat="1" ht="16.5">
      <c r="A12" s="2" t="s">
        <v>217</v>
      </c>
      <c r="B12" s="26"/>
      <c r="C12" s="52" t="s">
        <v>9</v>
      </c>
      <c r="D12" s="53"/>
      <c r="E12" s="53">
        <v>261.61</v>
      </c>
      <c r="F12" s="29"/>
      <c r="G12" s="29"/>
      <c r="H12" s="29"/>
      <c r="I12" s="29"/>
      <c r="J12" s="29"/>
      <c r="K12" s="29"/>
      <c r="L12" s="29"/>
      <c r="M12" s="46"/>
      <c r="N12" s="46"/>
      <c r="O12" s="46"/>
      <c r="P12" s="30"/>
      <c r="Q12" s="10"/>
    </row>
    <row r="13" spans="1:17" s="11" customFormat="1" ht="16.5">
      <c r="A13" s="2" t="s">
        <v>227</v>
      </c>
      <c r="B13" s="26"/>
      <c r="C13" s="52" t="s">
        <v>9</v>
      </c>
      <c r="D13" s="53"/>
      <c r="E13" s="53">
        <v>870</v>
      </c>
      <c r="F13" s="29"/>
      <c r="G13" s="29"/>
      <c r="H13" s="29"/>
      <c r="I13" s="29"/>
      <c r="J13" s="29"/>
      <c r="K13" s="29"/>
      <c r="L13" s="29"/>
      <c r="M13" s="46"/>
      <c r="N13" s="46"/>
      <c r="O13" s="46"/>
      <c r="P13" s="30"/>
      <c r="Q13" s="10"/>
    </row>
    <row r="14" spans="1:17" s="11" customFormat="1" ht="16.5">
      <c r="A14" s="2" t="s">
        <v>227</v>
      </c>
      <c r="B14" s="26"/>
      <c r="C14" s="52" t="s">
        <v>9</v>
      </c>
      <c r="D14" s="29"/>
      <c r="E14" s="29">
        <v>530</v>
      </c>
      <c r="F14" s="29"/>
      <c r="G14" s="29"/>
      <c r="H14" s="29"/>
      <c r="I14" s="29"/>
      <c r="J14" s="29"/>
      <c r="K14" s="29"/>
      <c r="L14" s="29"/>
      <c r="M14" s="46"/>
      <c r="N14" s="46"/>
      <c r="O14" s="46"/>
      <c r="P14" s="30"/>
      <c r="Q14" s="10"/>
    </row>
    <row r="15" spans="1:17" s="11" customFormat="1" ht="16.5">
      <c r="A15" s="2" t="s">
        <v>80</v>
      </c>
      <c r="B15" s="26"/>
      <c r="C15" s="52" t="s">
        <v>9</v>
      </c>
      <c r="D15" s="29"/>
      <c r="E15" s="29">
        <v>300</v>
      </c>
      <c r="F15" s="29"/>
      <c r="G15" s="29"/>
      <c r="H15" s="29"/>
      <c r="I15" s="29"/>
      <c r="J15" s="29"/>
      <c r="K15" s="29"/>
      <c r="L15" s="29"/>
      <c r="M15" s="46"/>
      <c r="N15" s="46"/>
      <c r="O15" s="46"/>
      <c r="P15" s="30"/>
      <c r="Q15" s="10"/>
    </row>
    <row r="16" spans="1:17" s="11" customFormat="1" ht="16.5">
      <c r="A16" s="2" t="s">
        <v>230</v>
      </c>
      <c r="B16" s="26"/>
      <c r="C16" s="52" t="s">
        <v>9</v>
      </c>
      <c r="D16" s="29"/>
      <c r="E16" s="29">
        <v>17550</v>
      </c>
      <c r="F16" s="29"/>
      <c r="G16" s="29"/>
      <c r="H16" s="29"/>
      <c r="I16" s="29"/>
      <c r="J16" s="29"/>
      <c r="K16" s="29"/>
      <c r="L16" s="29"/>
      <c r="M16" s="46"/>
      <c r="N16" s="46"/>
      <c r="O16" s="46"/>
      <c r="P16" s="30"/>
      <c r="Q16" s="10"/>
    </row>
    <row r="17" spans="1:17" s="11" customFormat="1" ht="16.5">
      <c r="A17" s="2" t="s">
        <v>231</v>
      </c>
      <c r="B17" s="26"/>
      <c r="C17" s="52" t="s">
        <v>9</v>
      </c>
      <c r="D17" s="29"/>
      <c r="E17" s="29">
        <v>9000</v>
      </c>
      <c r="F17" s="29"/>
      <c r="G17" s="29"/>
      <c r="H17" s="29"/>
      <c r="I17" s="29"/>
      <c r="J17" s="29"/>
      <c r="K17" s="29"/>
      <c r="L17" s="29"/>
      <c r="M17" s="46"/>
      <c r="N17" s="46"/>
      <c r="O17" s="46"/>
      <c r="P17" s="30">
        <f t="shared" ref="P17:P45" si="0">SUM(D17:O17)</f>
        <v>9000</v>
      </c>
      <c r="Q17" s="10"/>
    </row>
    <row r="18" spans="1:17" s="11" customFormat="1" ht="16.5">
      <c r="A18" s="2" t="s">
        <v>232</v>
      </c>
      <c r="B18" s="26"/>
      <c r="C18" s="52" t="s">
        <v>9</v>
      </c>
      <c r="D18" s="29"/>
      <c r="E18" s="29">
        <v>3105</v>
      </c>
      <c r="F18" s="29"/>
      <c r="G18" s="29"/>
      <c r="H18" s="29"/>
      <c r="I18" s="29"/>
      <c r="J18" s="53"/>
      <c r="K18" s="29"/>
      <c r="L18" s="53"/>
      <c r="M18" s="46"/>
      <c r="N18" s="46"/>
      <c r="O18" s="46"/>
      <c r="P18" s="30">
        <f t="shared" si="0"/>
        <v>3105</v>
      </c>
      <c r="Q18" s="10"/>
    </row>
    <row r="19" spans="1:17" s="11" customFormat="1" ht="16.5">
      <c r="A19" s="2" t="s">
        <v>232</v>
      </c>
      <c r="B19" s="26"/>
      <c r="C19" s="52" t="s">
        <v>10</v>
      </c>
      <c r="D19" s="29"/>
      <c r="E19" s="29">
        <v>7585</v>
      </c>
      <c r="F19" s="29"/>
      <c r="G19" s="29"/>
      <c r="H19" s="29"/>
      <c r="I19" s="29"/>
      <c r="J19" s="53"/>
      <c r="K19" s="29"/>
      <c r="L19" s="53"/>
      <c r="M19" s="46"/>
      <c r="N19" s="46"/>
      <c r="O19" s="46"/>
      <c r="P19" s="30"/>
      <c r="Q19" s="10"/>
    </row>
    <row r="20" spans="1:17" s="11" customFormat="1" ht="16.5">
      <c r="A20" s="2" t="s">
        <v>226</v>
      </c>
      <c r="B20" s="26"/>
      <c r="C20" s="52" t="s">
        <v>10</v>
      </c>
      <c r="D20" s="29"/>
      <c r="E20" s="29">
        <v>1100</v>
      </c>
      <c r="F20" s="29"/>
      <c r="G20" s="29"/>
      <c r="H20" s="29"/>
      <c r="I20" s="29"/>
      <c r="J20" s="53"/>
      <c r="K20" s="29"/>
      <c r="L20" s="53"/>
      <c r="M20" s="46"/>
      <c r="N20" s="46"/>
      <c r="O20" s="46"/>
      <c r="P20" s="30"/>
      <c r="Q20" s="10"/>
    </row>
    <row r="21" spans="1:17" s="11" customFormat="1" ht="16.5">
      <c r="A21" s="2" t="s">
        <v>233</v>
      </c>
      <c r="B21" s="26"/>
      <c r="C21" s="52" t="s">
        <v>10</v>
      </c>
      <c r="D21" s="29"/>
      <c r="E21" s="29">
        <v>140</v>
      </c>
      <c r="F21" s="29"/>
      <c r="G21" s="29"/>
      <c r="H21" s="29"/>
      <c r="I21" s="29"/>
      <c r="J21" s="53"/>
      <c r="K21" s="29"/>
      <c r="L21" s="53"/>
      <c r="M21" s="46"/>
      <c r="N21" s="46"/>
      <c r="O21" s="46"/>
      <c r="P21" s="30"/>
      <c r="Q21" s="10"/>
    </row>
    <row r="22" spans="1:17" s="11" customFormat="1" ht="16.5">
      <c r="A22" s="2" t="s">
        <v>227</v>
      </c>
      <c r="B22" s="26"/>
      <c r="C22" s="52" t="s">
        <v>10</v>
      </c>
      <c r="D22" s="29"/>
      <c r="E22" s="29">
        <v>955</v>
      </c>
      <c r="F22" s="29"/>
      <c r="G22" s="29"/>
      <c r="H22" s="29"/>
      <c r="I22" s="29"/>
      <c r="J22" s="53"/>
      <c r="K22" s="29"/>
      <c r="L22" s="53"/>
      <c r="M22" s="46"/>
      <c r="N22" s="46"/>
      <c r="O22" s="46"/>
      <c r="P22" s="30"/>
      <c r="Q22" s="10"/>
    </row>
    <row r="23" spans="1:17" s="11" customFormat="1" ht="16.5">
      <c r="A23" s="2" t="s">
        <v>234</v>
      </c>
      <c r="B23" s="26"/>
      <c r="C23" s="52" t="s">
        <v>10</v>
      </c>
      <c r="D23" s="29"/>
      <c r="E23" s="29"/>
      <c r="F23" s="29">
        <v>900</v>
      </c>
      <c r="G23" s="29"/>
      <c r="H23" s="29"/>
      <c r="I23" s="29"/>
      <c r="J23" s="53"/>
      <c r="K23" s="29"/>
      <c r="L23" s="53"/>
      <c r="M23" s="46"/>
      <c r="N23" s="46"/>
      <c r="O23" s="46"/>
      <c r="P23" s="30"/>
      <c r="Q23" s="10"/>
    </row>
    <row r="24" spans="1:17" s="11" customFormat="1" ht="16.5">
      <c r="A24" s="2" t="s">
        <v>235</v>
      </c>
      <c r="B24" s="26"/>
      <c r="C24" s="52" t="s">
        <v>10</v>
      </c>
      <c r="D24" s="29"/>
      <c r="E24" s="29"/>
      <c r="F24" s="29">
        <v>1277</v>
      </c>
      <c r="G24" s="29"/>
      <c r="H24" s="29"/>
      <c r="I24" s="29"/>
      <c r="J24" s="53"/>
      <c r="K24" s="29"/>
      <c r="L24" s="53"/>
      <c r="M24" s="46"/>
      <c r="N24" s="46"/>
      <c r="O24" s="46"/>
      <c r="P24" s="30"/>
      <c r="Q24" s="10"/>
    </row>
    <row r="25" spans="1:17" s="11" customFormat="1" ht="16.5">
      <c r="A25" s="2" t="s">
        <v>217</v>
      </c>
      <c r="B25" s="26"/>
      <c r="C25" s="52" t="s">
        <v>10</v>
      </c>
      <c r="D25" s="29"/>
      <c r="E25" s="29"/>
      <c r="F25" s="29">
        <v>236.32</v>
      </c>
      <c r="G25" s="29"/>
      <c r="H25" s="29"/>
      <c r="I25" s="29"/>
      <c r="J25" s="53"/>
      <c r="K25" s="29"/>
      <c r="L25" s="53"/>
      <c r="M25" s="46"/>
      <c r="N25" s="46"/>
      <c r="O25" s="46"/>
      <c r="P25" s="30"/>
      <c r="Q25" s="10"/>
    </row>
    <row r="26" spans="1:17" s="11" customFormat="1" ht="12.75">
      <c r="A26" s="29" t="s">
        <v>191</v>
      </c>
      <c r="B26" s="29"/>
      <c r="C26" s="29" t="s">
        <v>236</v>
      </c>
      <c r="D26" s="29"/>
      <c r="E26" s="29"/>
      <c r="F26" s="29">
        <v>2600</v>
      </c>
      <c r="G26" s="29"/>
      <c r="H26" s="29"/>
      <c r="I26" s="29"/>
      <c r="J26" s="53"/>
      <c r="K26" s="29"/>
      <c r="L26" s="29"/>
      <c r="M26" s="29"/>
      <c r="N26" s="29"/>
      <c r="O26" s="29"/>
      <c r="P26" s="30">
        <f t="shared" si="0"/>
        <v>2600</v>
      </c>
      <c r="Q26" s="10"/>
    </row>
    <row r="27" spans="1:17" s="11" customFormat="1" ht="12.75">
      <c r="A27" s="29" t="s">
        <v>191</v>
      </c>
      <c r="B27" s="29"/>
      <c r="C27" s="29" t="s">
        <v>10</v>
      </c>
      <c r="D27" s="29"/>
      <c r="E27" s="29"/>
      <c r="F27" s="29">
        <v>2886</v>
      </c>
      <c r="G27" s="29"/>
      <c r="H27" s="29"/>
      <c r="I27" s="29"/>
      <c r="J27" s="29"/>
      <c r="K27" s="29"/>
      <c r="L27" s="29"/>
      <c r="M27" s="29"/>
      <c r="N27" s="29"/>
      <c r="O27" s="29"/>
      <c r="P27" s="30">
        <f t="shared" si="0"/>
        <v>2886</v>
      </c>
      <c r="Q27" s="10"/>
    </row>
    <row r="28" spans="1:17" s="11" customFormat="1" ht="12.75">
      <c r="A28" s="29" t="s">
        <v>237</v>
      </c>
      <c r="B28" s="29"/>
      <c r="C28" s="29" t="s">
        <v>10</v>
      </c>
      <c r="D28" s="29"/>
      <c r="E28" s="29"/>
      <c r="F28" s="29">
        <v>900</v>
      </c>
      <c r="G28" s="29"/>
      <c r="H28" s="29"/>
      <c r="I28" s="29"/>
      <c r="J28" s="29"/>
      <c r="K28" s="29"/>
      <c r="L28" s="29"/>
      <c r="M28" s="29"/>
      <c r="N28" s="29"/>
      <c r="O28" s="29"/>
      <c r="P28" s="30">
        <f t="shared" si="0"/>
        <v>900</v>
      </c>
      <c r="Q28" s="10"/>
    </row>
    <row r="29" spans="1:17" s="11" customFormat="1" ht="12.75">
      <c r="A29" s="29" t="s">
        <v>238</v>
      </c>
      <c r="B29" s="29"/>
      <c r="C29" s="29" t="s">
        <v>10</v>
      </c>
      <c r="D29" s="29"/>
      <c r="E29" s="29"/>
      <c r="F29" s="29">
        <v>789</v>
      </c>
      <c r="G29" s="29"/>
      <c r="H29" s="29"/>
      <c r="I29" s="29"/>
      <c r="J29" s="29"/>
      <c r="K29" s="29"/>
      <c r="L29" s="29"/>
      <c r="M29" s="29"/>
      <c r="N29" s="29"/>
      <c r="O29" s="29"/>
      <c r="P29" s="30">
        <f t="shared" si="0"/>
        <v>789</v>
      </c>
      <c r="Q29" s="10"/>
    </row>
    <row r="30" spans="1:17" s="11" customFormat="1" ht="12.75">
      <c r="A30" s="29" t="s">
        <v>239</v>
      </c>
      <c r="B30" s="29"/>
      <c r="C30" s="29" t="s">
        <v>10</v>
      </c>
      <c r="D30" s="29"/>
      <c r="E30" s="29"/>
      <c r="F30" s="29">
        <v>320</v>
      </c>
      <c r="G30" s="29"/>
      <c r="H30" s="29"/>
      <c r="I30" s="29"/>
      <c r="J30" s="29"/>
      <c r="K30" s="29"/>
      <c r="L30" s="29"/>
      <c r="M30" s="29"/>
      <c r="N30" s="29"/>
      <c r="O30" s="29"/>
      <c r="P30" s="30">
        <f t="shared" si="0"/>
        <v>320</v>
      </c>
      <c r="Q30" s="10"/>
    </row>
    <row r="31" spans="1:17" s="11" customFormat="1" ht="12.7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30">
        <f t="shared" si="0"/>
        <v>0</v>
      </c>
      <c r="Q31" s="10"/>
    </row>
    <row r="32" spans="1:17" s="11" customFormat="1" ht="12.7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30">
        <f t="shared" si="0"/>
        <v>0</v>
      </c>
      <c r="Q32" s="10"/>
    </row>
    <row r="33" spans="1:17" s="11" customFormat="1" ht="12.7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>
        <f t="shared" si="0"/>
        <v>0</v>
      </c>
      <c r="Q33" s="10"/>
    </row>
    <row r="34" spans="1:17" s="11" customFormat="1" ht="12.75">
      <c r="A34" s="29"/>
      <c r="B34" s="29"/>
      <c r="C34" s="29"/>
      <c r="D34" s="29"/>
      <c r="E34" s="29"/>
      <c r="F34" s="29"/>
      <c r="G34" s="53"/>
      <c r="H34" s="53"/>
      <c r="I34" s="53"/>
      <c r="J34" s="53"/>
      <c r="K34" s="53"/>
      <c r="L34" s="53"/>
      <c r="M34" s="29"/>
      <c r="N34" s="29"/>
      <c r="O34" s="29"/>
      <c r="P34" s="30">
        <f t="shared" si="0"/>
        <v>0</v>
      </c>
      <c r="Q34" s="10"/>
    </row>
    <row r="35" spans="1:17" s="11" customFormat="1" ht="12.75">
      <c r="A35" s="29"/>
      <c r="B35" s="29"/>
      <c r="C35" s="29"/>
      <c r="D35" s="29"/>
      <c r="E35" s="29"/>
      <c r="F35" s="29"/>
      <c r="G35" s="53"/>
      <c r="H35" s="53"/>
      <c r="I35" s="53"/>
      <c r="J35" s="53"/>
      <c r="K35" s="53"/>
      <c r="L35" s="53"/>
      <c r="M35" s="29"/>
      <c r="N35" s="29"/>
      <c r="O35" s="29"/>
      <c r="P35" s="30">
        <f t="shared" si="0"/>
        <v>0</v>
      </c>
      <c r="Q35" s="10"/>
    </row>
    <row r="36" spans="1:17" s="11" customFormat="1" ht="12.7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0"/>
      <c r="M36" s="29"/>
      <c r="N36" s="29"/>
      <c r="O36" s="29"/>
      <c r="P36" s="30">
        <f t="shared" si="0"/>
        <v>0</v>
      </c>
      <c r="Q36" s="10"/>
    </row>
    <row r="37" spans="1:17" s="11" customFormat="1" ht="12.7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60"/>
      <c r="M37" s="29"/>
      <c r="N37" s="29"/>
      <c r="O37" s="29"/>
      <c r="P37" s="30">
        <f t="shared" si="0"/>
        <v>0</v>
      </c>
      <c r="Q37" s="10"/>
    </row>
    <row r="38" spans="1:17" s="11" customFormat="1" ht="12.7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60"/>
      <c r="M38" s="29"/>
      <c r="N38" s="29"/>
      <c r="O38" s="29"/>
      <c r="P38" s="30">
        <f t="shared" si="0"/>
        <v>0</v>
      </c>
      <c r="Q38" s="10"/>
    </row>
    <row r="39" spans="1:17" s="11" customFormat="1" ht="12.7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60"/>
      <c r="M39" s="29"/>
      <c r="N39" s="29"/>
      <c r="O39" s="29"/>
      <c r="P39" s="30">
        <f t="shared" si="0"/>
        <v>0</v>
      </c>
      <c r="Q39" s="10"/>
    </row>
    <row r="40" spans="1:17" s="11" customFormat="1" ht="12.7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60"/>
      <c r="M40" s="29"/>
      <c r="N40" s="29"/>
      <c r="O40" s="29"/>
      <c r="P40" s="30">
        <f t="shared" si="0"/>
        <v>0</v>
      </c>
      <c r="Q40" s="10"/>
    </row>
    <row r="41" spans="1:17" s="11" customFormat="1">
      <c r="A41" s="2"/>
      <c r="B41" s="26"/>
      <c r="C41" s="78"/>
      <c r="D41" s="29"/>
      <c r="E41" s="29"/>
      <c r="F41" s="29"/>
      <c r="G41" s="29"/>
      <c r="H41" s="29"/>
      <c r="I41" s="29"/>
      <c r="J41" s="29"/>
      <c r="K41" s="29"/>
      <c r="L41" s="60"/>
      <c r="M41" s="29"/>
      <c r="N41" s="29"/>
      <c r="O41" s="29"/>
      <c r="P41" s="30">
        <f t="shared" si="0"/>
        <v>0</v>
      </c>
      <c r="Q41" s="10"/>
    </row>
    <row r="42" spans="1:17" s="11" customFormat="1">
      <c r="A42" s="2"/>
      <c r="B42" s="26"/>
      <c r="C42" s="78"/>
      <c r="D42" s="29"/>
      <c r="E42" s="29"/>
      <c r="F42" s="29"/>
      <c r="G42" s="29"/>
      <c r="H42" s="29"/>
      <c r="I42" s="29"/>
      <c r="J42" s="29"/>
      <c r="K42" s="29"/>
      <c r="L42" s="60"/>
      <c r="M42" s="29"/>
      <c r="N42" s="29"/>
      <c r="O42" s="29"/>
      <c r="P42" s="30">
        <f t="shared" si="0"/>
        <v>0</v>
      </c>
      <c r="Q42" s="10"/>
    </row>
    <row r="43" spans="1:17" s="11" customFormat="1">
      <c r="A43" s="2"/>
      <c r="B43" s="26"/>
      <c r="C43" s="78"/>
      <c r="D43" s="29"/>
      <c r="E43" s="29"/>
      <c r="F43" s="29"/>
      <c r="G43" s="29"/>
      <c r="H43" s="29"/>
      <c r="I43" s="29"/>
      <c r="J43" s="29"/>
      <c r="K43" s="29"/>
      <c r="L43" s="60"/>
      <c r="M43" s="29"/>
      <c r="N43" s="29"/>
      <c r="O43" s="29"/>
      <c r="P43" s="30">
        <f t="shared" si="0"/>
        <v>0</v>
      </c>
      <c r="Q43" s="10"/>
    </row>
    <row r="44" spans="1:17" s="11" customFormat="1">
      <c r="A44" s="2"/>
      <c r="B44" s="26"/>
      <c r="C44" s="78"/>
      <c r="D44" s="29"/>
      <c r="E44" s="29"/>
      <c r="F44" s="29"/>
      <c r="G44" s="29"/>
      <c r="H44" s="29"/>
      <c r="I44" s="29"/>
      <c r="J44" s="29"/>
      <c r="K44" s="29"/>
      <c r="L44" s="60"/>
      <c r="M44" s="29"/>
      <c r="N44" s="29"/>
      <c r="O44" s="29"/>
      <c r="P44" s="30">
        <f t="shared" si="0"/>
        <v>0</v>
      </c>
      <c r="Q44" s="10"/>
    </row>
    <row r="45" spans="1:17" s="11" customFormat="1" ht="16.149999999999999" thickBot="1">
      <c r="A45" s="2"/>
      <c r="B45" s="73"/>
      <c r="C45" s="2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30">
        <f t="shared" si="0"/>
        <v>0</v>
      </c>
      <c r="Q45" s="10"/>
    </row>
    <row r="46" spans="1:17" s="14" customFormat="1" ht="20.100000000000001" customHeight="1" thickBot="1">
      <c r="A46" s="82" t="s">
        <v>62</v>
      </c>
      <c r="B46" s="82"/>
      <c r="C46" s="83"/>
      <c r="D46" s="33">
        <f>SUM(D2:D45)</f>
        <v>18451.64</v>
      </c>
      <c r="E46" s="33">
        <f>SUM(E2:E45)</f>
        <v>41396.61</v>
      </c>
      <c r="F46" s="33">
        <f t="shared" ref="F46:O46" si="1">SUM(F2:F45)</f>
        <v>9908.32</v>
      </c>
      <c r="G46" s="33">
        <f t="shared" si="1"/>
        <v>0</v>
      </c>
      <c r="H46" s="33">
        <f t="shared" si="1"/>
        <v>0</v>
      </c>
      <c r="I46" s="33">
        <f t="shared" si="1"/>
        <v>0</v>
      </c>
      <c r="J46" s="33">
        <f t="shared" si="1"/>
        <v>0</v>
      </c>
      <c r="K46" s="33">
        <f t="shared" si="1"/>
        <v>0</v>
      </c>
      <c r="L46" s="33">
        <f t="shared" si="1"/>
        <v>0</v>
      </c>
      <c r="M46" s="33">
        <f t="shared" si="1"/>
        <v>0</v>
      </c>
      <c r="N46" s="33">
        <f t="shared" si="1"/>
        <v>0</v>
      </c>
      <c r="O46" s="33">
        <f t="shared" si="1"/>
        <v>0</v>
      </c>
      <c r="P46" s="33">
        <f>SUM(P2:P45)</f>
        <v>19600</v>
      </c>
      <c r="Q46" s="13"/>
    </row>
    <row r="47" spans="1:17" s="14" customFormat="1" ht="3.95" customHeight="1" thickBot="1">
      <c r="A47" s="4"/>
      <c r="B47" s="4"/>
      <c r="C47" s="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5"/>
      <c r="Q47" s="15"/>
    </row>
    <row r="48" spans="1:17" s="14" customFormat="1" ht="20.100000000000001" customHeight="1" thickBot="1">
      <c r="A48" s="16" t="s">
        <v>63</v>
      </c>
      <c r="B48" s="16"/>
      <c r="C48" s="16" t="s">
        <v>64</v>
      </c>
      <c r="D48" s="36">
        <f>SUMIF($C1:$C45,"=Cruz",D1:D45)</f>
        <v>0</v>
      </c>
      <c r="E48" s="36">
        <f t="shared" ref="E48:O48" si="2">SUMIF($C1:$C45,"=Cruz",E1:E45)</f>
        <v>9780</v>
      </c>
      <c r="F48" s="36">
        <f t="shared" si="2"/>
        <v>9908.32</v>
      </c>
      <c r="G48" s="36">
        <f t="shared" si="2"/>
        <v>0</v>
      </c>
      <c r="H48" s="36">
        <f t="shared" si="2"/>
        <v>0</v>
      </c>
      <c r="I48" s="36">
        <f t="shared" si="2"/>
        <v>0</v>
      </c>
      <c r="J48" s="36">
        <f t="shared" si="2"/>
        <v>0</v>
      </c>
      <c r="K48" s="36">
        <f t="shared" si="2"/>
        <v>0</v>
      </c>
      <c r="L48" s="36">
        <f t="shared" si="2"/>
        <v>0</v>
      </c>
      <c r="M48" s="36">
        <f t="shared" si="2"/>
        <v>0</v>
      </c>
      <c r="N48" s="36">
        <f t="shared" si="2"/>
        <v>0</v>
      </c>
      <c r="O48" s="36">
        <f t="shared" si="2"/>
        <v>0</v>
      </c>
      <c r="P48" s="36">
        <f>SUM(D48:O48)</f>
        <v>19688.32</v>
      </c>
      <c r="Q48" s="17"/>
    </row>
    <row r="49" spans="1:17" s="14" customFormat="1" ht="3.95" customHeight="1" thickBot="1">
      <c r="A49" s="4"/>
      <c r="B49" s="4"/>
      <c r="C49" s="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7"/>
      <c r="Q49" s="15"/>
    </row>
    <row r="50" spans="1:17" s="14" customFormat="1" ht="20.100000000000001" customHeight="1">
      <c r="A50" s="18" t="s">
        <v>63</v>
      </c>
      <c r="B50" s="18"/>
      <c r="C50" s="18" t="s">
        <v>9</v>
      </c>
      <c r="D50" s="38">
        <f>SUMIF($C1:$C45,"=Douglas",D1:D45)</f>
        <v>18451.64</v>
      </c>
      <c r="E50" s="38">
        <f t="shared" ref="E50:O50" si="3">SUMIF($C1:$C45,"=Douglas",E1:E45)</f>
        <v>31616.61</v>
      </c>
      <c r="F50" s="38">
        <f t="shared" si="3"/>
        <v>0</v>
      </c>
      <c r="G50" s="38">
        <f t="shared" si="3"/>
        <v>0</v>
      </c>
      <c r="H50" s="38">
        <f t="shared" si="3"/>
        <v>0</v>
      </c>
      <c r="I50" s="38">
        <f t="shared" si="3"/>
        <v>0</v>
      </c>
      <c r="J50" s="38">
        <f t="shared" si="3"/>
        <v>0</v>
      </c>
      <c r="K50" s="38">
        <f t="shared" si="3"/>
        <v>0</v>
      </c>
      <c r="L50" s="38">
        <f t="shared" si="3"/>
        <v>0</v>
      </c>
      <c r="M50" s="38">
        <f t="shared" si="3"/>
        <v>0</v>
      </c>
      <c r="N50" s="38">
        <f t="shared" si="3"/>
        <v>0</v>
      </c>
      <c r="O50" s="38">
        <f t="shared" si="3"/>
        <v>0</v>
      </c>
      <c r="P50" s="38">
        <f>SUM(D50:O50)</f>
        <v>50068.25</v>
      </c>
      <c r="Q50" s="17"/>
    </row>
    <row r="51" spans="1:17" s="23" customFormat="1" ht="5.0999999999999996" customHeight="1">
      <c r="A51" s="19"/>
      <c r="B51" s="19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1"/>
      <c r="Q51" s="22"/>
    </row>
    <row r="52" spans="1:17">
      <c r="P52" s="41"/>
    </row>
    <row r="53" spans="1:17">
      <c r="C53" s="39"/>
      <c r="D53" s="40"/>
      <c r="P53" s="41"/>
    </row>
    <row r="55" spans="1:17">
      <c r="P55" s="81"/>
    </row>
  </sheetData>
  <mergeCells count="1">
    <mergeCell ref="A46:C46"/>
  </mergeCells>
  <pageMargins left="0.51181102362204722" right="0.51181102362204722" top="0.78740157480314965" bottom="0.78740157480314965" header="0.31496062992125984" footer="0.31496062992125984"/>
  <pageSetup paperSize="9" scale="47" orientation="landscape" r:id="rId1"/>
  <headerFooter scaleWithDoc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Douglas" xr:uid="{8D1620E6-51A8-4806-B23A-9DF7618E0C68}">
          <x14:formula1>
            <xm:f>Nomes!$A$2:$A$3</xm:f>
          </x14:formula1>
          <xm:sqref>C41:C45 C2:C13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Douglas Cruz</cp:lastModifiedBy>
  <cp:revision/>
  <dcterms:created xsi:type="dcterms:W3CDTF">2019-11-04T14:00:46Z</dcterms:created>
  <dcterms:modified xsi:type="dcterms:W3CDTF">2026-03-26T23:17:54Z</dcterms:modified>
  <cp:category/>
  <cp:contentStatus/>
</cp:coreProperties>
</file>